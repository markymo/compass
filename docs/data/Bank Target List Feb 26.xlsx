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iskbridge.sharepoint.com/sites/Externals/Shared Documents/Project Compass/"/>
    </mc:Choice>
  </mc:AlternateContent>
  <xr:revisionPtr revIDLastSave="0" documentId="8_{2686E307-3273-495D-B7B0-75C045424DA8}" xr6:coauthVersionLast="47" xr6:coauthVersionMax="47" xr10:uidLastSave="{00000000-0000-0000-0000-000000000000}"/>
  <bookViews>
    <workbookView xWindow="-27750" yWindow="345" windowWidth="27225" windowHeight="16380" xr2:uid="{00000000-000D-0000-FFFF-FFFF00000000}"/>
  </bookViews>
  <sheets>
    <sheet name="League Table Search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1" i="1" l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O191" i="1" s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O143" i="1" s="1"/>
  <c r="M7" i="1"/>
  <c r="M6" i="1"/>
  <c r="M5" i="1"/>
  <c r="O30" i="1" s="1"/>
  <c r="M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O4" i="1"/>
  <c r="N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G28" i="1" s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G76" i="1" s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4" i="1"/>
  <c r="G7" i="1" s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5" i="1"/>
  <c r="F6" i="1"/>
  <c r="F7" i="1"/>
  <c r="F8" i="1"/>
  <c r="F9" i="1"/>
  <c r="F10" i="1"/>
  <c r="F11" i="1"/>
  <c r="G11" i="1"/>
  <c r="F12" i="1"/>
  <c r="F4" i="1"/>
  <c r="O163" i="1" l="1"/>
  <c r="O110" i="1"/>
  <c r="O52" i="1"/>
  <c r="O212" i="1"/>
  <c r="O162" i="1"/>
  <c r="O80" i="1"/>
  <c r="O28" i="1"/>
  <c r="O211" i="1"/>
  <c r="O108" i="1"/>
  <c r="O159" i="1"/>
  <c r="O107" i="1"/>
  <c r="O20" i="1"/>
  <c r="O187" i="1"/>
  <c r="O100" i="1"/>
  <c r="O128" i="1"/>
  <c r="O207" i="1"/>
  <c r="O156" i="1"/>
  <c r="O75" i="1"/>
  <c r="O46" i="1"/>
  <c r="O227" i="1"/>
  <c r="O206" i="1"/>
  <c r="O178" i="1"/>
  <c r="O155" i="1"/>
  <c r="O126" i="1"/>
  <c r="O97" i="1"/>
  <c r="O68" i="1"/>
  <c r="O45" i="1"/>
  <c r="O16" i="1"/>
  <c r="O226" i="1"/>
  <c r="O205" i="1"/>
  <c r="O177" i="1"/>
  <c r="O148" i="1"/>
  <c r="O125" i="1"/>
  <c r="O96" i="1"/>
  <c r="O67" i="1"/>
  <c r="O44" i="1"/>
  <c r="O15" i="1"/>
  <c r="O208" i="1"/>
  <c r="O204" i="1"/>
  <c r="O224" i="1"/>
  <c r="O94" i="1"/>
  <c r="O223" i="1"/>
  <c r="O36" i="1"/>
  <c r="O218" i="1"/>
  <c r="O132" i="1"/>
  <c r="O160" i="1"/>
  <c r="O188" i="1"/>
  <c r="O209" i="1"/>
  <c r="O129" i="1"/>
  <c r="O48" i="1"/>
  <c r="O157" i="1"/>
  <c r="O99" i="1"/>
  <c r="O47" i="1"/>
  <c r="O18" i="1"/>
  <c r="O127" i="1"/>
  <c r="O225" i="1"/>
  <c r="O147" i="1"/>
  <c r="O95" i="1"/>
  <c r="O14" i="1"/>
  <c r="O146" i="1"/>
  <c r="O13" i="1"/>
  <c r="O174" i="1"/>
  <c r="O116" i="1"/>
  <c r="O222" i="1"/>
  <c r="O173" i="1"/>
  <c r="O115" i="1"/>
  <c r="O221" i="1"/>
  <c r="O172" i="1"/>
  <c r="O114" i="1"/>
  <c r="O220" i="1"/>
  <c r="O193" i="1"/>
  <c r="O171" i="1"/>
  <c r="O142" i="1"/>
  <c r="O113" i="1"/>
  <c r="O84" i="1"/>
  <c r="O60" i="1"/>
  <c r="O31" i="1"/>
  <c r="O140" i="1"/>
  <c r="O81" i="1"/>
  <c r="O29" i="1"/>
  <c r="O190" i="1"/>
  <c r="O109" i="1"/>
  <c r="O51" i="1"/>
  <c r="O189" i="1"/>
  <c r="O131" i="1"/>
  <c r="O79" i="1"/>
  <c r="O50" i="1"/>
  <c r="O27" i="1"/>
  <c r="O210" i="1"/>
  <c r="O130" i="1"/>
  <c r="O78" i="1"/>
  <c r="O49" i="1"/>
  <c r="O158" i="1"/>
  <c r="O77" i="1"/>
  <c r="O19" i="1"/>
  <c r="O180" i="1"/>
  <c r="O76" i="1"/>
  <c r="O228" i="1"/>
  <c r="O179" i="1"/>
  <c r="O98" i="1"/>
  <c r="O17" i="1"/>
  <c r="O176" i="1"/>
  <c r="O124" i="1"/>
  <c r="O66" i="1"/>
  <c r="O43" i="1"/>
  <c r="O203" i="1"/>
  <c r="O175" i="1"/>
  <c r="O123" i="1"/>
  <c r="O65" i="1"/>
  <c r="O196" i="1"/>
  <c r="O145" i="1"/>
  <c r="O93" i="1"/>
  <c r="O64" i="1"/>
  <c r="O35" i="1"/>
  <c r="O12" i="1"/>
  <c r="O195" i="1"/>
  <c r="O144" i="1"/>
  <c r="O92" i="1"/>
  <c r="O63" i="1"/>
  <c r="O34" i="1"/>
  <c r="O11" i="1"/>
  <c r="O194" i="1"/>
  <c r="O91" i="1"/>
  <c r="O62" i="1"/>
  <c r="O32" i="1"/>
  <c r="O219" i="1"/>
  <c r="O192" i="1"/>
  <c r="O164" i="1"/>
  <c r="O141" i="1"/>
  <c r="O112" i="1"/>
  <c r="O82" i="1"/>
  <c r="O59" i="1"/>
  <c r="O161" i="1"/>
  <c r="O139" i="1"/>
  <c r="O111" i="1"/>
  <c r="O83" i="1"/>
  <c r="O61" i="1"/>
  <c r="O33" i="1"/>
  <c r="O5" i="1"/>
  <c r="O21" i="1"/>
  <c r="O37" i="1"/>
  <c r="O53" i="1"/>
  <c r="O69" i="1"/>
  <c r="O85" i="1"/>
  <c r="O101" i="1"/>
  <c r="O117" i="1"/>
  <c r="O133" i="1"/>
  <c r="O149" i="1"/>
  <c r="O165" i="1"/>
  <c r="O181" i="1"/>
  <c r="O197" i="1"/>
  <c r="O213" i="1"/>
  <c r="O229" i="1"/>
  <c r="O6" i="1"/>
  <c r="O22" i="1"/>
  <c r="O38" i="1"/>
  <c r="O54" i="1"/>
  <c r="O70" i="1"/>
  <c r="O86" i="1"/>
  <c r="O102" i="1"/>
  <c r="O118" i="1"/>
  <c r="O134" i="1"/>
  <c r="O150" i="1"/>
  <c r="O166" i="1"/>
  <c r="O182" i="1"/>
  <c r="O198" i="1"/>
  <c r="O214" i="1"/>
  <c r="O230" i="1"/>
  <c r="O7" i="1"/>
  <c r="O23" i="1"/>
  <c r="O39" i="1"/>
  <c r="O55" i="1"/>
  <c r="O71" i="1"/>
  <c r="O87" i="1"/>
  <c r="O103" i="1"/>
  <c r="O119" i="1"/>
  <c r="O135" i="1"/>
  <c r="O151" i="1"/>
  <c r="O167" i="1"/>
  <c r="O183" i="1"/>
  <c r="O199" i="1"/>
  <c r="O215" i="1"/>
  <c r="O231" i="1"/>
  <c r="O8" i="1"/>
  <c r="O24" i="1"/>
  <c r="O40" i="1"/>
  <c r="O56" i="1"/>
  <c r="O72" i="1"/>
  <c r="O88" i="1"/>
  <c r="O104" i="1"/>
  <c r="O120" i="1"/>
  <c r="O136" i="1"/>
  <c r="O152" i="1"/>
  <c r="O168" i="1"/>
  <c r="O184" i="1"/>
  <c r="O200" i="1"/>
  <c r="O216" i="1"/>
  <c r="O9" i="1"/>
  <c r="O25" i="1"/>
  <c r="O41" i="1"/>
  <c r="O57" i="1"/>
  <c r="O73" i="1"/>
  <c r="O89" i="1"/>
  <c r="O105" i="1"/>
  <c r="O121" i="1"/>
  <c r="O137" i="1"/>
  <c r="O153" i="1"/>
  <c r="O169" i="1"/>
  <c r="O185" i="1"/>
  <c r="O201" i="1"/>
  <c r="O217" i="1"/>
  <c r="O10" i="1"/>
  <c r="O42" i="1"/>
  <c r="O58" i="1"/>
  <c r="O74" i="1"/>
  <c r="O90" i="1"/>
  <c r="O106" i="1"/>
  <c r="O122" i="1"/>
  <c r="O138" i="1"/>
  <c r="O154" i="1"/>
  <c r="O170" i="1"/>
  <c r="O186" i="1"/>
  <c r="O202" i="1"/>
  <c r="O26" i="1"/>
  <c r="G72" i="1"/>
  <c r="G24" i="1"/>
  <c r="G5" i="1"/>
  <c r="G6" i="1"/>
  <c r="G79" i="1"/>
  <c r="G27" i="1"/>
  <c r="G4" i="1"/>
  <c r="G12" i="1"/>
  <c r="G13" i="1"/>
  <c r="G18" i="1"/>
  <c r="G17" i="1"/>
  <c r="G14" i="1"/>
  <c r="G100" i="1"/>
  <c r="G60" i="1"/>
  <c r="G44" i="1"/>
  <c r="G20" i="1"/>
  <c r="G107" i="1"/>
  <c r="G91" i="1"/>
  <c r="G59" i="1"/>
  <c r="G35" i="1"/>
  <c r="G19" i="1"/>
  <c r="G98" i="1"/>
  <c r="G82" i="1"/>
  <c r="G58" i="1"/>
  <c r="G26" i="1"/>
  <c r="G16" i="1"/>
  <c r="G108" i="1"/>
  <c r="G36" i="1"/>
  <c r="G67" i="1"/>
  <c r="G68" i="1"/>
  <c r="G43" i="1"/>
  <c r="G71" i="1"/>
  <c r="G63" i="1"/>
  <c r="G55" i="1"/>
  <c r="G47" i="1"/>
  <c r="G39" i="1"/>
  <c r="G31" i="1"/>
  <c r="G23" i="1"/>
  <c r="G15" i="1"/>
  <c r="G84" i="1"/>
  <c r="G75" i="1"/>
  <c r="G92" i="1"/>
  <c r="G52" i="1"/>
  <c r="G99" i="1"/>
  <c r="G83" i="1"/>
  <c r="G51" i="1"/>
  <c r="G106" i="1"/>
  <c r="G90" i="1"/>
  <c r="G74" i="1"/>
  <c r="G66" i="1"/>
  <c r="G50" i="1"/>
  <c r="G42" i="1"/>
  <c r="G34" i="1"/>
  <c r="G113" i="1"/>
  <c r="G105" i="1"/>
  <c r="G97" i="1"/>
  <c r="G89" i="1"/>
  <c r="G81" i="1"/>
  <c r="G73" i="1"/>
  <c r="G65" i="1"/>
  <c r="G57" i="1"/>
  <c r="G49" i="1"/>
  <c r="G41" i="1"/>
  <c r="G33" i="1"/>
  <c r="G25" i="1"/>
  <c r="G112" i="1"/>
  <c r="G104" i="1"/>
  <c r="G96" i="1"/>
  <c r="G88" i="1"/>
  <c r="G80" i="1"/>
  <c r="G64" i="1"/>
  <c r="G56" i="1"/>
  <c r="G48" i="1"/>
  <c r="G40" i="1"/>
  <c r="G32" i="1"/>
  <c r="G10" i="1"/>
  <c r="G111" i="1"/>
  <c r="G103" i="1"/>
  <c r="G95" i="1"/>
  <c r="G87" i="1"/>
  <c r="G9" i="1"/>
  <c r="G110" i="1"/>
  <c r="G102" i="1"/>
  <c r="G94" i="1"/>
  <c r="G86" i="1"/>
  <c r="G78" i="1"/>
  <c r="G70" i="1"/>
  <c r="G62" i="1"/>
  <c r="G54" i="1"/>
  <c r="G46" i="1"/>
  <c r="G38" i="1"/>
  <c r="G30" i="1"/>
  <c r="G22" i="1"/>
  <c r="G8" i="1"/>
  <c r="G109" i="1"/>
  <c r="G101" i="1"/>
  <c r="G93" i="1"/>
  <c r="G85" i="1"/>
  <c r="G77" i="1"/>
  <c r="G69" i="1"/>
  <c r="G61" i="1"/>
  <c r="G53" i="1"/>
  <c r="G45" i="1"/>
  <c r="G37" i="1"/>
  <c r="G29" i="1"/>
  <c r="G21" i="1"/>
</calcChain>
</file>

<file path=xl/sharedStrings.xml><?xml version="1.0" encoding="utf-8"?>
<sst xmlns="http://schemas.openxmlformats.org/spreadsheetml/2006/main" count="627" uniqueCount="239">
  <si>
    <t xml:space="preserve">Edmond de Rothschild </t>
  </si>
  <si>
    <t>Company</t>
  </si>
  <si>
    <t>Aviva</t>
  </si>
  <si>
    <t>Landesbank Baden-Wurttemberg</t>
  </si>
  <si>
    <t>NordLB</t>
  </si>
  <si>
    <t xml:space="preserve">Danmarks Skibskredit </t>
  </si>
  <si>
    <t>Transactions</t>
  </si>
  <si>
    <t>Barings</t>
  </si>
  <si>
    <t>Canada Life</t>
  </si>
  <si>
    <t>Virgin Money</t>
  </si>
  <si>
    <t>Scotiabank</t>
  </si>
  <si>
    <t>Metropolitan Tower Life Insurance Company</t>
  </si>
  <si>
    <t>Korea Development Bank</t>
  </si>
  <si>
    <t>Westpac</t>
  </si>
  <si>
    <t>HSBC</t>
  </si>
  <si>
    <t>Helaba</t>
  </si>
  <si>
    <t>Groupe BPCE</t>
  </si>
  <si>
    <t>Sun Life Financial</t>
  </si>
  <si>
    <t>I Squared Capital</t>
  </si>
  <si>
    <t>Alpha Bank</t>
  </si>
  <si>
    <t>Societe Generale</t>
  </si>
  <si>
    <t>JP Morgan</t>
  </si>
  <si>
    <t>Bank of Ireland</t>
  </si>
  <si>
    <t>Palistar Capital</t>
  </si>
  <si>
    <t>Goldman Sachs</t>
  </si>
  <si>
    <t>Scottish National Investment Bank</t>
  </si>
  <si>
    <t>BlackRock</t>
  </si>
  <si>
    <t>Lloyds Banking Group</t>
  </si>
  <si>
    <t>Instituto de Credito Oficial</t>
  </si>
  <si>
    <t>Rothesay Life</t>
  </si>
  <si>
    <t>La Banque Postale</t>
  </si>
  <si>
    <t>Intesa Sanpaolo</t>
  </si>
  <si>
    <t>Shinhan Financial Group</t>
  </si>
  <si>
    <t>abrdn Core Infrastructure</t>
  </si>
  <si>
    <t>DZ Bank</t>
  </si>
  <si>
    <t>Bank of China</t>
  </si>
  <si>
    <t>Kommunalkredit Austria</t>
  </si>
  <si>
    <t>Mizuho Financial Group</t>
  </si>
  <si>
    <t>ING Group</t>
  </si>
  <si>
    <t>Vantage Bank</t>
  </si>
  <si>
    <t>China Minsheng Bank</t>
  </si>
  <si>
    <t>Deutsche Bank</t>
  </si>
  <si>
    <t>CaixaBank</t>
  </si>
  <si>
    <t>Morgan Stanley</t>
  </si>
  <si>
    <t>Siemens</t>
  </si>
  <si>
    <t>Canadian Imperial Bank of Commerce</t>
  </si>
  <si>
    <t>Standard Bank</t>
  </si>
  <si>
    <t>Skandinaviska Enskilda Banken</t>
  </si>
  <si>
    <t>Standard Chartered Bank</t>
  </si>
  <si>
    <t>National Australia Bank</t>
  </si>
  <si>
    <t>Abanca</t>
  </si>
  <si>
    <t>Novuna</t>
  </si>
  <si>
    <t>Banco BPM</t>
  </si>
  <si>
    <t>BBVA</t>
  </si>
  <si>
    <t>ICBC</t>
  </si>
  <si>
    <t>ABN AMRO Bank</t>
  </si>
  <si>
    <t>Market Share (%) by Value</t>
  </si>
  <si>
    <t>Nordea</t>
  </si>
  <si>
    <t>China Investment Corporation</t>
  </si>
  <si>
    <t>Investec</t>
  </si>
  <si>
    <t>Mitsubishi UFJ Financial Group</t>
  </si>
  <si>
    <t>Royal Bank of Canada</t>
  </si>
  <si>
    <t>Bank of East Asia</t>
  </si>
  <si>
    <t>Bank of America</t>
  </si>
  <si>
    <t>Mediobanca Banking Group</t>
  </si>
  <si>
    <t>Erste Bank</t>
  </si>
  <si>
    <t>CIC Bank</t>
  </si>
  <si>
    <t>Barclays</t>
  </si>
  <si>
    <t>Woori Financial Group</t>
  </si>
  <si>
    <t>MassMutual</t>
  </si>
  <si>
    <t>Alter Domus</t>
  </si>
  <si>
    <t>Citigroup</t>
  </si>
  <si>
    <t>OCBC Bank</t>
  </si>
  <si>
    <t>BayernLB</t>
  </si>
  <si>
    <t>BNP Paribas</t>
  </si>
  <si>
    <t>Bank of Iceland</t>
  </si>
  <si>
    <t>Kookmin Bank</t>
  </si>
  <si>
    <t>Rank</t>
  </si>
  <si>
    <t>Triodos</t>
  </si>
  <si>
    <t>Allied Irish Bank</t>
  </si>
  <si>
    <t>Aldermore Bank</t>
  </si>
  <si>
    <t>DNB ASA</t>
  </si>
  <si>
    <t>Allianz</t>
  </si>
  <si>
    <t>Sumitomo Mitsui Trust Holdings</t>
  </si>
  <si>
    <t>KfW</t>
  </si>
  <si>
    <t>Total (USDm)</t>
  </si>
  <si>
    <t>Santander</t>
  </si>
  <si>
    <t>Credit Agricole Group</t>
  </si>
  <si>
    <t>SEK</t>
  </si>
  <si>
    <t>Just Retirement Group</t>
  </si>
  <si>
    <t>Rabobank</t>
  </si>
  <si>
    <t>Norinchukin Bank</t>
  </si>
  <si>
    <t>Danske Bank</t>
  </si>
  <si>
    <t>Australia and New Zealand Banking Group</t>
  </si>
  <si>
    <t>M&amp;G Investment Management</t>
  </si>
  <si>
    <t>Universities Superannuation Scheme</t>
  </si>
  <si>
    <t>Bankinter</t>
  </si>
  <si>
    <t>Sumitomo Mitsui Financial Group</t>
  </si>
  <si>
    <t>Hithium</t>
  </si>
  <si>
    <t>Clifford Capital</t>
  </si>
  <si>
    <t>Banco Sabadell</t>
  </si>
  <si>
    <t>UniCredit</t>
  </si>
  <si>
    <t>New York Life Insurance Company</t>
  </si>
  <si>
    <t>=</t>
  </si>
  <si>
    <t>NatWest</t>
  </si>
  <si>
    <t>National Bank of Kuwait</t>
  </si>
  <si>
    <t>NIBC Bank</t>
  </si>
  <si>
    <t>Legal &amp; General Group</t>
  </si>
  <si>
    <t>Apollo Global Management</t>
  </si>
  <si>
    <t>Commonwealth Bank of Australia</t>
  </si>
  <si>
    <t>Kutxabank</t>
  </si>
  <si>
    <t>First Abu Dhabi Bank</t>
  </si>
  <si>
    <t>United Overseas Bank</t>
  </si>
  <si>
    <t>Queensland Investment Corporation</t>
  </si>
  <si>
    <t>Hamburg Commercial Bank</t>
  </si>
  <si>
    <t>Toronto-Dominion Bank</t>
  </si>
  <si>
    <t>Cum Transactions</t>
  </si>
  <si>
    <t>Cum Market Share</t>
  </si>
  <si>
    <t>League Table Search Results - IJ Global CY2025, UK Project Finance</t>
  </si>
  <si>
    <t>Market Share (%) by Transactions</t>
  </si>
  <si>
    <t>BPER Banca</t>
  </si>
  <si>
    <t>mBank</t>
  </si>
  <si>
    <t>Raiffeisen Banking Group</t>
  </si>
  <si>
    <t>PKO Bank Polski</t>
  </si>
  <si>
    <t>Bank Pekao</t>
  </si>
  <si>
    <t>Eurobank EFG</t>
  </si>
  <si>
    <t>KBC Group NV</t>
  </si>
  <si>
    <t>Credit Mutuel</t>
  </si>
  <si>
    <t>Gruppo Montepaschi</t>
  </si>
  <si>
    <t>OTP Bank</t>
  </si>
  <si>
    <t>Swedbank</t>
  </si>
  <si>
    <t>Belfius Bank</t>
  </si>
  <si>
    <t>Millennium BCP</t>
  </si>
  <si>
    <t>Commerzbank</t>
  </si>
  <si>
    <t>Blackstone</t>
  </si>
  <si>
    <t>DekaBank</t>
  </si>
  <si>
    <t>Unicaja</t>
  </si>
  <si>
    <t>Bpifrance</t>
  </si>
  <si>
    <t>Macquarie</t>
  </si>
  <si>
    <t>Munich Re</t>
  </si>
  <si>
    <t>Banque Palatine</t>
  </si>
  <si>
    <t>Volksbank an der Niers eG</t>
  </si>
  <si>
    <t>Eiffel Investment Group</t>
  </si>
  <si>
    <t>Banca Nazionale del Lavoro</t>
  </si>
  <si>
    <t>OP Corporate Bank</t>
  </si>
  <si>
    <t>Alior Bank</t>
  </si>
  <si>
    <t>Industry Super Holdings</t>
  </si>
  <si>
    <t>ASR Nederland</t>
  </si>
  <si>
    <t xml:space="preserve">Deutsche Anlagen Leasing </t>
  </si>
  <si>
    <t>United Bulgarian Bank</t>
  </si>
  <si>
    <t>DBS Bank</t>
  </si>
  <si>
    <t>La Caisse</t>
  </si>
  <si>
    <t>Cassa Depositi e Prestiti</t>
  </si>
  <si>
    <t>Piraeus Bank</t>
  </si>
  <si>
    <t>Vakifbank</t>
  </si>
  <si>
    <t>Le Credit Lyonnais Bank - LCL</t>
  </si>
  <si>
    <t>Akbank</t>
  </si>
  <si>
    <t>National Bank of Greece</t>
  </si>
  <si>
    <t>Brookfield Asset Management</t>
  </si>
  <si>
    <t>Banco Cooperativo Español</t>
  </si>
  <si>
    <t>SpareBank 1</t>
  </si>
  <si>
    <t>Cajamar</t>
  </si>
  <si>
    <t>Banco Pichincha</t>
  </si>
  <si>
    <t>Bank Ochrony Srodowiska</t>
  </si>
  <si>
    <t>UBS</t>
  </si>
  <si>
    <t>Banca Del Mezzogiorno Mediocredito Centrale</t>
  </si>
  <si>
    <t>Ziraat Bankasi</t>
  </si>
  <si>
    <t>Nederlandse Waterschapsbank</t>
  </si>
  <si>
    <t>Generali Group</t>
  </si>
  <si>
    <t>AXA Investment Managers</t>
  </si>
  <si>
    <t>Ageas</t>
  </si>
  <si>
    <t>Novo Banco</t>
  </si>
  <si>
    <t>Sparkasse</t>
  </si>
  <si>
    <t>F2i SGR</t>
  </si>
  <si>
    <t>Zurich Cantonal Bank</t>
  </si>
  <si>
    <t>Guggenheim Partners</t>
  </si>
  <si>
    <t>Prime Capital AG</t>
  </si>
  <si>
    <t>Government of Singapore Investment Corporation</t>
  </si>
  <si>
    <t>AustralianSuper</t>
  </si>
  <si>
    <t>ASN Bank</t>
  </si>
  <si>
    <t>Sun Life Assurance Company</t>
  </si>
  <si>
    <t>Commercial Bank of Dubai</t>
  </si>
  <si>
    <t>Institut Catala de Finances</t>
  </si>
  <si>
    <t>Sberbank</t>
  </si>
  <si>
    <t>European Investment Bank</t>
  </si>
  <si>
    <t>Nomura</t>
  </si>
  <si>
    <t>Bank of Bahrain &amp; Kuwait</t>
  </si>
  <si>
    <t>IKB Deutsche Industriebank</t>
  </si>
  <si>
    <t>Canada Pension Plan Investment Board</t>
  </si>
  <si>
    <t>China Construction Bank</t>
  </si>
  <si>
    <t>Bank of Communications</t>
  </si>
  <si>
    <t>Axa Infrastructure Partners</t>
  </si>
  <si>
    <t>Kuwait Finance House</t>
  </si>
  <si>
    <t>Agricultural Bank of China</t>
  </si>
  <si>
    <t>Caixa Geral de Depósitos</t>
  </si>
  <si>
    <t>CCB International Finance</t>
  </si>
  <si>
    <t>NN Group</t>
  </si>
  <si>
    <t>Sienna Capital</t>
  </si>
  <si>
    <t>Vienna Insurance Group</t>
  </si>
  <si>
    <t>Caisse Centrale de Reassurance</t>
  </si>
  <si>
    <t>Basellandschaftliche Kantonalbank</t>
  </si>
  <si>
    <t>Thurgauer Kantonalbank</t>
  </si>
  <si>
    <t>NLB Bank</t>
  </si>
  <si>
    <t>KDB Bank</t>
  </si>
  <si>
    <t>De Nederlandsche Bank</t>
  </si>
  <si>
    <t>Qualitas Energy</t>
  </si>
  <si>
    <t>Bank SinoPac</t>
  </si>
  <si>
    <t>Ringkjobing Landbobank</t>
  </si>
  <si>
    <t>Oschadbank</t>
  </si>
  <si>
    <t>First Ukrainian International Bank</t>
  </si>
  <si>
    <t>Ukrgasbank</t>
  </si>
  <si>
    <t>Caisse d'Epargne Hauts de France</t>
  </si>
  <si>
    <t>Banque Populaire Val de France</t>
  </si>
  <si>
    <t>Caisse d'Epargne Aquitaine Poitou-Charentes</t>
  </si>
  <si>
    <t>Aareal Bank</t>
  </si>
  <si>
    <t>Banca Ifigest</t>
  </si>
  <si>
    <t>Ampega</t>
  </si>
  <si>
    <t>ProCredit Group</t>
  </si>
  <si>
    <t>Arkea Banque Entreprises et Institutionnels</t>
  </si>
  <si>
    <t>Ardshinbank</t>
  </si>
  <si>
    <t>Schroders</t>
  </si>
  <si>
    <t>Aegon</t>
  </si>
  <si>
    <t>Fuyo General Lease</t>
  </si>
  <si>
    <t>Silk Road Fund</t>
  </si>
  <si>
    <t>Talanx</t>
  </si>
  <si>
    <t>Bridge Bank</t>
  </si>
  <si>
    <t>Rivage Investment</t>
  </si>
  <si>
    <t>RGreen Invest</t>
  </si>
  <si>
    <t>Mediocredito Italiano</t>
  </si>
  <si>
    <t>Northill Capital</t>
  </si>
  <si>
    <t>Berenberg Bank</t>
  </si>
  <si>
    <t>Banco de Credito Cooperativo</t>
  </si>
  <si>
    <t>Corporacion Financiera Alba</t>
  </si>
  <si>
    <t>SGBT Finance Ireland</t>
  </si>
  <si>
    <t>LocalTapiola</t>
  </si>
  <si>
    <t>ASR Levensverzekering</t>
  </si>
  <si>
    <t>La Nef</t>
  </si>
  <si>
    <t>Zurich Insurance Company</t>
  </si>
  <si>
    <t>League Table Search Results - IJ Global CY2025, European Project Finance (incl 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</si>
</sst>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9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83847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 applyAlignment="1">
      <alignment horizontal="left"/>
    </xf>
    <xf numFmtId="4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" fontId="0" fillId="3" borderId="1" xfId="0" applyNumberForma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5" borderId="1" xfId="0" applyFill="1" applyBorder="1" applyAlignment="1">
      <alignment horizontal="left"/>
    </xf>
    <xf numFmtId="0" fontId="0" fillId="5" borderId="0" xfId="0" applyFill="1"/>
    <xf numFmtId="165" fontId="0" fillId="3" borderId="1" xfId="1" applyNumberFormat="1" applyFont="1" applyFill="1" applyBorder="1" applyAlignment="1">
      <alignment horizontal="left"/>
    </xf>
    <xf numFmtId="9" fontId="0" fillId="0" borderId="0" xfId="1" applyFont="1"/>
    <xf numFmtId="9" fontId="0" fillId="5" borderId="0" xfId="1" applyFont="1" applyFill="1"/>
    <xf numFmtId="9" fontId="0" fillId="5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1"/>
  <sheetViews>
    <sheetView tabSelected="1" workbookViewId="0">
      <pane ySplit="3" topLeftCell="A4" activePane="bottomLeft" state="frozenSplit"/>
      <selection pane="bottomLeft" activeCell="I1" sqref="I1"/>
    </sheetView>
  </sheetViews>
  <sheetFormatPr defaultRowHeight="15" x14ac:dyDescent="0.25"/>
  <cols>
    <col min="1" max="1" width="5.7109375" customWidth="1"/>
    <col min="2" max="2" width="38.7109375" customWidth="1"/>
    <col min="10" max="10" width="31" customWidth="1"/>
  </cols>
  <sheetData>
    <row r="1" spans="1:15" ht="21" x14ac:dyDescent="0.35">
      <c r="A1" s="5" t="s">
        <v>118</v>
      </c>
      <c r="I1" s="5" t="s">
        <v>238</v>
      </c>
    </row>
    <row r="3" spans="1:15" s="8" customFormat="1" ht="75" x14ac:dyDescent="0.25">
      <c r="A3" s="6" t="s">
        <v>77</v>
      </c>
      <c r="B3" s="6" t="s">
        <v>1</v>
      </c>
      <c r="C3" s="6" t="s">
        <v>85</v>
      </c>
      <c r="D3" s="6" t="s">
        <v>6</v>
      </c>
      <c r="E3" s="6" t="s">
        <v>119</v>
      </c>
      <c r="F3" s="7" t="s">
        <v>116</v>
      </c>
      <c r="G3" s="7" t="s">
        <v>117</v>
      </c>
      <c r="I3" s="7" t="s">
        <v>77</v>
      </c>
      <c r="J3" s="7" t="s">
        <v>1</v>
      </c>
      <c r="K3" s="7" t="s">
        <v>85</v>
      </c>
      <c r="L3" s="7" t="s">
        <v>6</v>
      </c>
      <c r="M3" s="7" t="s">
        <v>56</v>
      </c>
      <c r="N3" s="7" t="s">
        <v>116</v>
      </c>
      <c r="O3" s="7" t="s">
        <v>117</v>
      </c>
    </row>
    <row r="4" spans="1:15" x14ac:dyDescent="0.25">
      <c r="A4" s="3">
        <v>1</v>
      </c>
      <c r="B4" s="9" t="s">
        <v>104</v>
      </c>
      <c r="C4" s="4">
        <v>3868.95</v>
      </c>
      <c r="D4" s="3">
        <v>41</v>
      </c>
      <c r="E4" s="11">
        <f>D4/SUM($D$4:$D$113)</f>
        <v>7.6635514018691592E-2</v>
      </c>
      <c r="F4">
        <f>SUM(D$4:D4)</f>
        <v>41</v>
      </c>
      <c r="G4" s="12">
        <f>SUM(E$4:E4)</f>
        <v>7.6635514018691592E-2</v>
      </c>
      <c r="I4" s="3">
        <v>1</v>
      </c>
      <c r="J4" s="3" t="s">
        <v>87</v>
      </c>
      <c r="K4" s="4">
        <v>10105.85</v>
      </c>
      <c r="L4" s="3">
        <v>97</v>
      </c>
      <c r="M4" s="11">
        <f>L4/SUM($L$4:$L$231)</f>
        <v>5.1160337552742616E-2</v>
      </c>
      <c r="N4">
        <f>SUM(L$4:L4)</f>
        <v>97</v>
      </c>
      <c r="O4" s="12">
        <f>SUM(M$4:M4)</f>
        <v>5.1160337552742616E-2</v>
      </c>
    </row>
    <row r="5" spans="1:15" x14ac:dyDescent="0.25">
      <c r="A5" s="1">
        <v>2</v>
      </c>
      <c r="B5" s="9" t="s">
        <v>86</v>
      </c>
      <c r="C5" s="2">
        <v>2697.77</v>
      </c>
      <c r="D5" s="1">
        <v>27</v>
      </c>
      <c r="E5" s="11">
        <f t="shared" ref="E5:E68" si="0">D5/SUM($D$4:$D$113)</f>
        <v>5.046728971962617E-2</v>
      </c>
      <c r="F5">
        <f>SUM(D$4:D5)</f>
        <v>68</v>
      </c>
      <c r="G5" s="12">
        <f>SUM(E$4:E5)</f>
        <v>0.12710280373831775</v>
      </c>
      <c r="I5" s="1">
        <v>2</v>
      </c>
      <c r="J5" s="1" t="s">
        <v>38</v>
      </c>
      <c r="K5" s="2">
        <v>6855.97</v>
      </c>
      <c r="L5" s="1">
        <v>79</v>
      </c>
      <c r="M5" s="11">
        <f t="shared" ref="M5:M68" si="1">L5/SUM($L$4:$L$231)</f>
        <v>4.1666666666666664E-2</v>
      </c>
      <c r="N5">
        <f>SUM(L$4:L5)</f>
        <v>176</v>
      </c>
      <c r="O5" s="12">
        <f>SUM(M$4:M5)</f>
        <v>9.2827004219409287E-2</v>
      </c>
    </row>
    <row r="6" spans="1:15" x14ac:dyDescent="0.25">
      <c r="A6" s="3">
        <v>3</v>
      </c>
      <c r="B6" s="9" t="s">
        <v>27</v>
      </c>
      <c r="C6" s="4">
        <v>2615.4</v>
      </c>
      <c r="D6" s="3">
        <v>24</v>
      </c>
      <c r="E6" s="11">
        <f t="shared" si="0"/>
        <v>4.4859813084112146E-2</v>
      </c>
      <c r="F6">
        <f>SUM(D$4:D6)</f>
        <v>92</v>
      </c>
      <c r="G6" s="12">
        <f>SUM(E$4:E6)</f>
        <v>0.17196261682242991</v>
      </c>
      <c r="I6" s="3">
        <v>3</v>
      </c>
      <c r="J6" s="3" t="s">
        <v>86</v>
      </c>
      <c r="K6" s="4">
        <v>8011.41</v>
      </c>
      <c r="L6" s="3">
        <v>76</v>
      </c>
      <c r="M6" s="11">
        <f t="shared" si="1"/>
        <v>4.0084388185654012E-2</v>
      </c>
      <c r="N6">
        <f>SUM(L$4:L6)</f>
        <v>252</v>
      </c>
      <c r="O6" s="12">
        <f>SUM(M$4:M6)</f>
        <v>0.13291139240506331</v>
      </c>
    </row>
    <row r="7" spans="1:15" x14ac:dyDescent="0.25">
      <c r="A7" s="1">
        <v>4</v>
      </c>
      <c r="B7" s="9" t="s">
        <v>87</v>
      </c>
      <c r="C7" s="2">
        <v>2087.4699999999998</v>
      </c>
      <c r="D7" s="1">
        <v>21</v>
      </c>
      <c r="E7" s="11">
        <f t="shared" si="0"/>
        <v>3.925233644859813E-2</v>
      </c>
      <c r="F7">
        <f>SUM(D$4:D7)</f>
        <v>113</v>
      </c>
      <c r="G7" s="12">
        <f>SUM(E$4:E7)</f>
        <v>0.21121495327102804</v>
      </c>
      <c r="I7" s="1">
        <v>4</v>
      </c>
      <c r="J7" s="1" t="s">
        <v>20</v>
      </c>
      <c r="K7" s="2">
        <v>7529.66</v>
      </c>
      <c r="L7" s="1">
        <v>75</v>
      </c>
      <c r="M7" s="11">
        <f t="shared" si="1"/>
        <v>3.9556962025316458E-2</v>
      </c>
      <c r="N7">
        <f>SUM(L$4:L7)</f>
        <v>327</v>
      </c>
      <c r="O7" s="12">
        <f>SUM(M$4:M7)</f>
        <v>0.17246835443037978</v>
      </c>
    </row>
    <row r="8" spans="1:15" x14ac:dyDescent="0.25">
      <c r="A8" s="3">
        <v>5</v>
      </c>
      <c r="B8" s="9" t="s">
        <v>67</v>
      </c>
      <c r="C8" s="4">
        <v>1739.17</v>
      </c>
      <c r="D8" s="3">
        <v>19</v>
      </c>
      <c r="E8" s="11">
        <f t="shared" si="0"/>
        <v>3.5514018691588788E-2</v>
      </c>
      <c r="F8">
        <f>SUM(D$4:D8)</f>
        <v>132</v>
      </c>
      <c r="G8" s="12">
        <f>SUM(E$4:E8)</f>
        <v>0.24672897196261684</v>
      </c>
      <c r="I8" s="3">
        <v>5</v>
      </c>
      <c r="J8" s="3" t="s">
        <v>74</v>
      </c>
      <c r="K8" s="4">
        <v>7545.81</v>
      </c>
      <c r="L8" s="3">
        <v>66</v>
      </c>
      <c r="M8" s="11">
        <f t="shared" si="1"/>
        <v>3.4810126582278479E-2</v>
      </c>
      <c r="N8">
        <f>SUM(L$4:L8)</f>
        <v>393</v>
      </c>
      <c r="O8" s="12">
        <f>SUM(M$4:M8)</f>
        <v>0.20727848101265825</v>
      </c>
    </row>
    <row r="9" spans="1:15" x14ac:dyDescent="0.25">
      <c r="A9" s="1">
        <v>6</v>
      </c>
      <c r="B9" s="9" t="s">
        <v>14</v>
      </c>
      <c r="C9" s="2">
        <v>1962.13</v>
      </c>
      <c r="D9" s="1">
        <v>18</v>
      </c>
      <c r="E9" s="11">
        <f t="shared" si="0"/>
        <v>3.3644859813084113E-2</v>
      </c>
      <c r="F9">
        <f>SUM(D$4:D9)</f>
        <v>150</v>
      </c>
      <c r="G9" s="12">
        <f>SUM(E$4:E9)</f>
        <v>0.28037383177570097</v>
      </c>
      <c r="I9" s="1">
        <v>6</v>
      </c>
      <c r="J9" s="9" t="s">
        <v>101</v>
      </c>
      <c r="K9" s="2">
        <v>5850.71</v>
      </c>
      <c r="L9" s="1">
        <v>58</v>
      </c>
      <c r="M9" s="11">
        <f t="shared" si="1"/>
        <v>3.059071729957806E-2</v>
      </c>
      <c r="N9">
        <f>SUM(L$4:L9)</f>
        <v>451</v>
      </c>
      <c r="O9" s="12">
        <f>SUM(M$4:M9)</f>
        <v>0.2378691983122363</v>
      </c>
    </row>
    <row r="10" spans="1:15" x14ac:dyDescent="0.25">
      <c r="A10" s="3">
        <v>7</v>
      </c>
      <c r="B10" s="9" t="s">
        <v>20</v>
      </c>
      <c r="C10" s="4">
        <v>2021.01</v>
      </c>
      <c r="D10" s="3">
        <v>17</v>
      </c>
      <c r="E10" s="11">
        <f t="shared" si="0"/>
        <v>3.1775700934579439E-2</v>
      </c>
      <c r="F10">
        <f>SUM(D$4:D10)</f>
        <v>167</v>
      </c>
      <c r="G10" s="12">
        <f>SUM(E$4:E10)</f>
        <v>0.3121495327102804</v>
      </c>
      <c r="I10" s="3">
        <v>7</v>
      </c>
      <c r="J10" s="3" t="s">
        <v>90</v>
      </c>
      <c r="K10" s="4">
        <v>3128.74</v>
      </c>
      <c r="L10" s="3">
        <v>54</v>
      </c>
      <c r="M10" s="11">
        <f t="shared" si="1"/>
        <v>2.8481012658227847E-2</v>
      </c>
      <c r="N10">
        <f>SUM(L$4:L10)</f>
        <v>505</v>
      </c>
      <c r="O10" s="12">
        <f>SUM(M$4:M10)</f>
        <v>0.26635021097046413</v>
      </c>
    </row>
    <row r="11" spans="1:15" x14ac:dyDescent="0.25">
      <c r="A11" s="1">
        <v>8</v>
      </c>
      <c r="B11" s="9" t="s">
        <v>90</v>
      </c>
      <c r="C11" s="2">
        <v>1189.94</v>
      </c>
      <c r="D11" s="1">
        <v>16</v>
      </c>
      <c r="E11" s="11">
        <f t="shared" si="0"/>
        <v>2.9906542056074768E-2</v>
      </c>
      <c r="F11">
        <f>SUM(D$4:D11)</f>
        <v>183</v>
      </c>
      <c r="G11" s="12">
        <f>SUM(E$4:E11)</f>
        <v>0.34205607476635519</v>
      </c>
      <c r="I11" s="1">
        <v>8</v>
      </c>
      <c r="J11" s="1" t="s">
        <v>16</v>
      </c>
      <c r="K11" s="2">
        <v>6022.5</v>
      </c>
      <c r="L11" s="1">
        <v>52</v>
      </c>
      <c r="M11" s="11">
        <f t="shared" si="1"/>
        <v>2.7426160337552744E-2</v>
      </c>
      <c r="N11">
        <f>SUM(L$4:L11)</f>
        <v>557</v>
      </c>
      <c r="O11" s="12">
        <f>SUM(M$4:M11)</f>
        <v>0.29377637130801687</v>
      </c>
    </row>
    <row r="12" spans="1:15" x14ac:dyDescent="0.25">
      <c r="A12" s="3">
        <v>9</v>
      </c>
      <c r="B12" s="9" t="s">
        <v>60</v>
      </c>
      <c r="C12" s="4">
        <v>1716.67</v>
      </c>
      <c r="D12" s="3">
        <v>15</v>
      </c>
      <c r="E12" s="11">
        <f t="shared" si="0"/>
        <v>2.8037383177570093E-2</v>
      </c>
      <c r="F12">
        <f>SUM(D$4:D12)</f>
        <v>198</v>
      </c>
      <c r="G12" s="12">
        <f>SUM(E$4:E12)</f>
        <v>0.37009345794392529</v>
      </c>
      <c r="I12" s="3">
        <v>9</v>
      </c>
      <c r="J12" s="3" t="s">
        <v>104</v>
      </c>
      <c r="K12" s="4">
        <v>4645.8999999999996</v>
      </c>
      <c r="L12" s="3">
        <v>51</v>
      </c>
      <c r="M12" s="11">
        <f t="shared" si="1"/>
        <v>2.6898734177215191E-2</v>
      </c>
      <c r="N12">
        <f>SUM(L$4:L12)</f>
        <v>608</v>
      </c>
      <c r="O12" s="12">
        <f>SUM(M$4:M12)</f>
        <v>0.32067510548523204</v>
      </c>
    </row>
    <row r="13" spans="1:15" x14ac:dyDescent="0.25">
      <c r="A13" s="1">
        <v>10</v>
      </c>
      <c r="B13" s="9" t="s">
        <v>38</v>
      </c>
      <c r="C13" s="2">
        <v>1214.78</v>
      </c>
      <c r="D13" s="1">
        <v>14</v>
      </c>
      <c r="E13" s="11">
        <f t="shared" si="0"/>
        <v>2.6168224299065422E-2</v>
      </c>
      <c r="F13">
        <f>SUM(D$4:D13)</f>
        <v>212</v>
      </c>
      <c r="G13" s="12">
        <f>SUM(E$4:E13)</f>
        <v>0.39626168224299069</v>
      </c>
      <c r="I13" s="1">
        <v>10</v>
      </c>
      <c r="J13" s="1" t="s">
        <v>4</v>
      </c>
      <c r="K13" s="2">
        <v>3538.39</v>
      </c>
      <c r="L13" s="1">
        <v>47</v>
      </c>
      <c r="M13" s="11">
        <f t="shared" si="1"/>
        <v>2.4789029535864978E-2</v>
      </c>
      <c r="N13">
        <f>SUM(L$4:L13)</f>
        <v>655</v>
      </c>
      <c r="O13" s="12">
        <f>SUM(M$4:M13)</f>
        <v>0.34546413502109702</v>
      </c>
    </row>
    <row r="14" spans="1:15" x14ac:dyDescent="0.25">
      <c r="A14" s="3" t="s">
        <v>103</v>
      </c>
      <c r="B14" s="9" t="s">
        <v>74</v>
      </c>
      <c r="C14" s="4">
        <v>2096.5300000000002</v>
      </c>
      <c r="D14" s="3">
        <v>14</v>
      </c>
      <c r="E14" s="11">
        <f t="shared" si="0"/>
        <v>2.6168224299065422E-2</v>
      </c>
      <c r="F14">
        <f>SUM(D$4:D14)</f>
        <v>226</v>
      </c>
      <c r="G14" s="12">
        <f>SUM(E$4:E14)</f>
        <v>0.42242990654205609</v>
      </c>
      <c r="I14" s="3">
        <v>11</v>
      </c>
      <c r="J14" s="3" t="s">
        <v>53</v>
      </c>
      <c r="K14" s="4">
        <v>5658.77</v>
      </c>
      <c r="L14" s="3">
        <v>46</v>
      </c>
      <c r="M14" s="11">
        <f t="shared" si="1"/>
        <v>2.4261603375527425E-2</v>
      </c>
      <c r="N14">
        <f>SUM(L$4:L14)</f>
        <v>701</v>
      </c>
      <c r="O14" s="12">
        <f>SUM(M$4:M14)</f>
        <v>0.36972573839662443</v>
      </c>
    </row>
    <row r="15" spans="1:15" x14ac:dyDescent="0.25">
      <c r="A15" s="1">
        <v>12</v>
      </c>
      <c r="B15" s="9" t="s">
        <v>97</v>
      </c>
      <c r="C15" s="2">
        <v>1794.41</v>
      </c>
      <c r="D15" s="1">
        <v>13</v>
      </c>
      <c r="E15" s="11">
        <f t="shared" si="0"/>
        <v>2.4299065420560748E-2</v>
      </c>
      <c r="F15">
        <f>SUM(D$4:D15)</f>
        <v>239</v>
      </c>
      <c r="G15" s="12">
        <f>SUM(E$4:E15)</f>
        <v>0.44672897196261685</v>
      </c>
      <c r="I15" s="1">
        <v>12</v>
      </c>
      <c r="J15" s="9" t="s">
        <v>31</v>
      </c>
      <c r="K15" s="2">
        <v>5449.85</v>
      </c>
      <c r="L15" s="1">
        <v>45</v>
      </c>
      <c r="M15" s="11">
        <f t="shared" si="1"/>
        <v>2.3734177215189875E-2</v>
      </c>
      <c r="N15">
        <f>SUM(L$4:L15)</f>
        <v>746</v>
      </c>
      <c r="O15" s="12">
        <f>SUM(M$4:M15)</f>
        <v>0.39345991561181431</v>
      </c>
    </row>
    <row r="16" spans="1:15" x14ac:dyDescent="0.25">
      <c r="A16" s="3" t="s">
        <v>103</v>
      </c>
      <c r="B16" s="9" t="s">
        <v>53</v>
      </c>
      <c r="C16" s="4">
        <v>1800.91</v>
      </c>
      <c r="D16" s="3">
        <v>13</v>
      </c>
      <c r="E16" s="11">
        <f t="shared" si="0"/>
        <v>2.4299065420560748E-2</v>
      </c>
      <c r="F16">
        <f>SUM(D$4:D16)</f>
        <v>252</v>
      </c>
      <c r="G16" s="12">
        <f>SUM(E$4:E16)</f>
        <v>0.47102803738317761</v>
      </c>
      <c r="I16" s="3">
        <v>13</v>
      </c>
      <c r="J16" s="3" t="s">
        <v>60</v>
      </c>
      <c r="K16" s="4">
        <v>4640.1499999999996</v>
      </c>
      <c r="L16" s="3">
        <v>42</v>
      </c>
      <c r="M16" s="11">
        <f t="shared" si="1"/>
        <v>2.2151898734177215E-2</v>
      </c>
      <c r="N16">
        <f>SUM(L$4:L16)</f>
        <v>788</v>
      </c>
      <c r="O16" s="12">
        <f>SUM(M$4:M16)</f>
        <v>0.41561181434599154</v>
      </c>
    </row>
    <row r="17" spans="1:15" x14ac:dyDescent="0.25">
      <c r="A17" s="1">
        <v>14</v>
      </c>
      <c r="B17" s="1" t="s">
        <v>16</v>
      </c>
      <c r="C17" s="2">
        <v>1612.17</v>
      </c>
      <c r="D17" s="1">
        <v>12</v>
      </c>
      <c r="E17" s="11">
        <f t="shared" si="0"/>
        <v>2.2429906542056073E-2</v>
      </c>
      <c r="F17">
        <f>SUM(D$4:D17)</f>
        <v>264</v>
      </c>
      <c r="G17" s="12">
        <f>SUM(E$4:E17)</f>
        <v>0.49345794392523368</v>
      </c>
      <c r="I17" s="1">
        <v>14</v>
      </c>
      <c r="J17" s="1" t="s">
        <v>97</v>
      </c>
      <c r="K17" s="2">
        <v>4376.37</v>
      </c>
      <c r="L17" s="1">
        <v>39</v>
      </c>
      <c r="M17" s="11">
        <f t="shared" si="1"/>
        <v>2.0569620253164556E-2</v>
      </c>
      <c r="N17">
        <f>SUM(L$4:L17)</f>
        <v>827</v>
      </c>
      <c r="O17" s="12">
        <f>SUM(M$4:M17)</f>
        <v>0.43618143459915609</v>
      </c>
    </row>
    <row r="18" spans="1:15" x14ac:dyDescent="0.25">
      <c r="A18" s="3">
        <v>15</v>
      </c>
      <c r="B18" s="9" t="s">
        <v>4</v>
      </c>
      <c r="C18" s="3">
        <v>680.92</v>
      </c>
      <c r="D18" s="3">
        <v>11</v>
      </c>
      <c r="E18" s="11">
        <f t="shared" si="0"/>
        <v>2.0560747663551402E-2</v>
      </c>
      <c r="F18" s="10">
        <f>SUM(D$4:D18)</f>
        <v>275</v>
      </c>
      <c r="G18" s="13">
        <f>SUM(E$4:E18)</f>
        <v>0.5140186915887851</v>
      </c>
      <c r="I18" s="3">
        <v>15</v>
      </c>
      <c r="J18" s="3" t="s">
        <v>55</v>
      </c>
      <c r="K18" s="4">
        <v>3287.81</v>
      </c>
      <c r="L18" s="3">
        <v>36</v>
      </c>
      <c r="M18" s="11">
        <f t="shared" si="1"/>
        <v>1.8987341772151899E-2</v>
      </c>
      <c r="N18">
        <f>SUM(L$4:L18)</f>
        <v>863</v>
      </c>
      <c r="O18" s="12">
        <f>SUM(M$4:M18)</f>
        <v>0.45516877637130798</v>
      </c>
    </row>
    <row r="19" spans="1:15" x14ac:dyDescent="0.25">
      <c r="A19" s="1" t="s">
        <v>103</v>
      </c>
      <c r="B19" s="1" t="s">
        <v>45</v>
      </c>
      <c r="C19" s="1">
        <v>626.55999999999995</v>
      </c>
      <c r="D19" s="1">
        <v>11</v>
      </c>
      <c r="E19" s="11">
        <f t="shared" si="0"/>
        <v>2.0560747663551402E-2</v>
      </c>
      <c r="F19">
        <f>SUM(D$4:D19)</f>
        <v>286</v>
      </c>
      <c r="G19" s="12">
        <f>SUM(E$4:E19)</f>
        <v>0.53457943925233653</v>
      </c>
      <c r="I19" s="1">
        <v>16</v>
      </c>
      <c r="J19" s="9" t="s">
        <v>34</v>
      </c>
      <c r="K19" s="2">
        <v>2192.35</v>
      </c>
      <c r="L19" s="1">
        <v>34</v>
      </c>
      <c r="M19" s="11">
        <f t="shared" si="1"/>
        <v>1.7932489451476793E-2</v>
      </c>
      <c r="N19">
        <f>SUM(L$4:L19)</f>
        <v>897</v>
      </c>
      <c r="O19" s="12">
        <f>SUM(M$4:M19)</f>
        <v>0.47310126582278478</v>
      </c>
    </row>
    <row r="20" spans="1:15" x14ac:dyDescent="0.25">
      <c r="A20" s="3">
        <v>17</v>
      </c>
      <c r="B20" s="9" t="s">
        <v>49</v>
      </c>
      <c r="C20" s="3">
        <v>503.82</v>
      </c>
      <c r="D20" s="3">
        <v>10</v>
      </c>
      <c r="E20" s="11">
        <f t="shared" si="0"/>
        <v>1.8691588785046728E-2</v>
      </c>
      <c r="F20">
        <f>SUM(D$4:D20)</f>
        <v>296</v>
      </c>
      <c r="G20" s="12">
        <f>SUM(E$4:E20)</f>
        <v>0.55327102803738326</v>
      </c>
      <c r="I20" s="3">
        <v>17</v>
      </c>
      <c r="J20" s="9" t="s">
        <v>42</v>
      </c>
      <c r="K20" s="4">
        <v>4217.1400000000003</v>
      </c>
      <c r="L20" s="3">
        <v>31</v>
      </c>
      <c r="M20" s="11">
        <f t="shared" si="1"/>
        <v>1.6350210970464137E-2</v>
      </c>
      <c r="N20">
        <f>SUM(L$4:L20)</f>
        <v>928</v>
      </c>
      <c r="O20" s="12">
        <f>SUM(M$4:M20)</f>
        <v>0.48945147679324891</v>
      </c>
    </row>
    <row r="21" spans="1:15" x14ac:dyDescent="0.25">
      <c r="A21" s="1" t="s">
        <v>103</v>
      </c>
      <c r="B21" s="1" t="s">
        <v>42</v>
      </c>
      <c r="C21" s="2">
        <v>1319.3</v>
      </c>
      <c r="D21" s="1">
        <v>10</v>
      </c>
      <c r="E21" s="11">
        <f t="shared" si="0"/>
        <v>1.8691588785046728E-2</v>
      </c>
      <c r="F21">
        <f>SUM(D$4:D21)</f>
        <v>306</v>
      </c>
      <c r="G21" s="12">
        <f>SUM(E$4:E21)</f>
        <v>0.57196261682242999</v>
      </c>
      <c r="I21" s="1">
        <v>18</v>
      </c>
      <c r="J21" s="9" t="s">
        <v>47</v>
      </c>
      <c r="K21" s="2">
        <v>2147.38</v>
      </c>
      <c r="L21" s="1">
        <v>29</v>
      </c>
      <c r="M21" s="11">
        <f t="shared" si="1"/>
        <v>1.529535864978903E-2</v>
      </c>
      <c r="N21" s="10">
        <f>SUM(L$4:L21)</f>
        <v>957</v>
      </c>
      <c r="O21" s="14">
        <f>SUM(M$4:M21)</f>
        <v>0.50474683544303789</v>
      </c>
    </row>
    <row r="22" spans="1:15" x14ac:dyDescent="0.25">
      <c r="A22" s="3" t="s">
        <v>103</v>
      </c>
      <c r="B22" s="9" t="s">
        <v>55</v>
      </c>
      <c r="C22" s="4">
        <v>1154.03</v>
      </c>
      <c r="D22" s="3">
        <v>10</v>
      </c>
      <c r="E22" s="11">
        <f t="shared" si="0"/>
        <v>1.8691588785046728E-2</v>
      </c>
      <c r="F22">
        <f>SUM(D$4:D22)</f>
        <v>316</v>
      </c>
      <c r="G22" s="12">
        <f>SUM(E$4:E22)</f>
        <v>0.59065420560747672</v>
      </c>
      <c r="I22" s="3">
        <v>19</v>
      </c>
      <c r="J22" s="3" t="s">
        <v>84</v>
      </c>
      <c r="K22" s="4">
        <v>3390.94</v>
      </c>
      <c r="L22" s="3">
        <v>28</v>
      </c>
      <c r="M22" s="11">
        <f t="shared" si="1"/>
        <v>1.4767932489451477E-2</v>
      </c>
      <c r="N22">
        <f>SUM(L$4:L22)</f>
        <v>985</v>
      </c>
      <c r="O22" s="12">
        <f>SUM(M$4:M22)</f>
        <v>0.51951476793248941</v>
      </c>
    </row>
    <row r="23" spans="1:15" x14ac:dyDescent="0.25">
      <c r="A23" s="1" t="s">
        <v>103</v>
      </c>
      <c r="B23" s="1" t="s">
        <v>44</v>
      </c>
      <c r="C23" s="1">
        <v>685.47</v>
      </c>
      <c r="D23" s="1">
        <v>10</v>
      </c>
      <c r="E23" s="11">
        <f t="shared" si="0"/>
        <v>1.8691588785046728E-2</v>
      </c>
      <c r="F23">
        <f>SUM(D$4:D23)</f>
        <v>326</v>
      </c>
      <c r="G23" s="12">
        <f>SUM(E$4:E23)</f>
        <v>0.60934579439252345</v>
      </c>
      <c r="I23" s="1">
        <v>20</v>
      </c>
      <c r="J23" s="1" t="s">
        <v>73</v>
      </c>
      <c r="K23" s="2">
        <v>2415.88</v>
      </c>
      <c r="L23" s="1">
        <v>27</v>
      </c>
      <c r="M23" s="11">
        <f t="shared" si="1"/>
        <v>1.4240506329113924E-2</v>
      </c>
      <c r="N23">
        <f>SUM(L$4:L23)</f>
        <v>1012</v>
      </c>
      <c r="O23" s="12">
        <f>SUM(M$4:M23)</f>
        <v>0.5337552742616033</v>
      </c>
    </row>
    <row r="24" spans="1:15" x14ac:dyDescent="0.25">
      <c r="A24" s="3">
        <v>21</v>
      </c>
      <c r="B24" s="3" t="s">
        <v>31</v>
      </c>
      <c r="C24" s="3">
        <v>631.39</v>
      </c>
      <c r="D24" s="3">
        <v>9</v>
      </c>
      <c r="E24" s="11">
        <f t="shared" si="0"/>
        <v>1.6822429906542057E-2</v>
      </c>
      <c r="F24">
        <f>SUM(D$4:D24)</f>
        <v>335</v>
      </c>
      <c r="G24" s="12">
        <f>SUM(E$4:E24)</f>
        <v>0.62616822429906549</v>
      </c>
      <c r="I24" s="3" t="s">
        <v>103</v>
      </c>
      <c r="J24" s="3" t="s">
        <v>45</v>
      </c>
      <c r="K24" s="4">
        <v>2023.89</v>
      </c>
      <c r="L24" s="3">
        <v>27</v>
      </c>
      <c r="M24" s="11">
        <f t="shared" si="1"/>
        <v>1.4240506329113924E-2</v>
      </c>
      <c r="N24">
        <f>SUM(L$4:L24)</f>
        <v>1039</v>
      </c>
      <c r="O24" s="12">
        <f>SUM(M$4:M24)</f>
        <v>0.54799578059071719</v>
      </c>
    </row>
    <row r="25" spans="1:15" x14ac:dyDescent="0.25">
      <c r="A25" s="1">
        <v>22</v>
      </c>
      <c r="B25" s="1" t="s">
        <v>37</v>
      </c>
      <c r="C25" s="1">
        <v>677.75</v>
      </c>
      <c r="D25" s="1">
        <v>8</v>
      </c>
      <c r="E25" s="11">
        <f t="shared" si="0"/>
        <v>1.4953271028037384E-2</v>
      </c>
      <c r="F25">
        <f>SUM(D$4:D25)</f>
        <v>343</v>
      </c>
      <c r="G25" s="12">
        <f>SUM(E$4:E25)</f>
        <v>0.64112149532710283</v>
      </c>
      <c r="I25" s="1">
        <v>22</v>
      </c>
      <c r="J25" s="1" t="s">
        <v>14</v>
      </c>
      <c r="K25" s="2">
        <v>3351.78</v>
      </c>
      <c r="L25" s="1">
        <v>26</v>
      </c>
      <c r="M25" s="11">
        <f t="shared" si="1"/>
        <v>1.3713080168776372E-2</v>
      </c>
      <c r="N25">
        <f>SUM(L$4:L25)</f>
        <v>1065</v>
      </c>
      <c r="O25" s="12">
        <f>SUM(M$4:M25)</f>
        <v>0.56170886075949356</v>
      </c>
    </row>
    <row r="26" spans="1:15" x14ac:dyDescent="0.25">
      <c r="A26" s="3">
        <v>23</v>
      </c>
      <c r="B26" s="3" t="s">
        <v>47</v>
      </c>
      <c r="C26" s="3">
        <v>394.09</v>
      </c>
      <c r="D26" s="3">
        <v>7</v>
      </c>
      <c r="E26" s="11">
        <f t="shared" si="0"/>
        <v>1.3084112149532711E-2</v>
      </c>
      <c r="F26">
        <f>SUM(D$4:D26)</f>
        <v>350</v>
      </c>
      <c r="G26" s="12">
        <f>SUM(E$4:E26)</f>
        <v>0.65420560747663559</v>
      </c>
      <c r="I26" s="3" t="s">
        <v>103</v>
      </c>
      <c r="J26" s="3" t="s">
        <v>3</v>
      </c>
      <c r="K26" s="4">
        <v>3906.57</v>
      </c>
      <c r="L26" s="3">
        <v>26</v>
      </c>
      <c r="M26" s="11">
        <f t="shared" si="1"/>
        <v>1.3713080168776372E-2</v>
      </c>
      <c r="N26">
        <f>SUM(L$4:L26)</f>
        <v>1091</v>
      </c>
      <c r="O26" s="12">
        <f>SUM(M$4:M26)</f>
        <v>0.57542194092826993</v>
      </c>
    </row>
    <row r="27" spans="1:15" x14ac:dyDescent="0.25">
      <c r="A27" s="1" t="s">
        <v>103</v>
      </c>
      <c r="B27" s="1" t="s">
        <v>81</v>
      </c>
      <c r="C27" s="1">
        <v>514.58000000000004</v>
      </c>
      <c r="D27" s="1">
        <v>7</v>
      </c>
      <c r="E27" s="11">
        <f t="shared" si="0"/>
        <v>1.3084112149532711E-2</v>
      </c>
      <c r="F27">
        <f>SUM(D$4:D27)</f>
        <v>357</v>
      </c>
      <c r="G27" s="12">
        <f>SUM(E$4:E27)</f>
        <v>0.66728971962616834</v>
      </c>
      <c r="I27" s="1">
        <v>24</v>
      </c>
      <c r="J27" s="1" t="s">
        <v>44</v>
      </c>
      <c r="K27" s="2">
        <v>1801.32</v>
      </c>
      <c r="L27" s="1">
        <v>24</v>
      </c>
      <c r="M27" s="11">
        <f t="shared" si="1"/>
        <v>1.2658227848101266E-2</v>
      </c>
      <c r="N27">
        <f>SUM(L$4:L27)</f>
        <v>1115</v>
      </c>
      <c r="O27" s="12">
        <f>SUM(M$4:M27)</f>
        <v>0.58808016877637115</v>
      </c>
    </row>
    <row r="28" spans="1:15" x14ac:dyDescent="0.25">
      <c r="A28" s="3" t="s">
        <v>103</v>
      </c>
      <c r="B28" s="9" t="s">
        <v>79</v>
      </c>
      <c r="C28" s="3">
        <v>480.96</v>
      </c>
      <c r="D28" s="3">
        <v>7</v>
      </c>
      <c r="E28" s="11">
        <f t="shared" si="0"/>
        <v>1.3084112149532711E-2</v>
      </c>
      <c r="F28">
        <f>SUM(D$4:D28)</f>
        <v>364</v>
      </c>
      <c r="G28" s="12">
        <f>SUM(E$4:E28)</f>
        <v>0.6803738317757011</v>
      </c>
      <c r="I28" s="3" t="s">
        <v>103</v>
      </c>
      <c r="J28" s="3" t="s">
        <v>27</v>
      </c>
      <c r="K28" s="4">
        <v>2615.4</v>
      </c>
      <c r="L28" s="3">
        <v>24</v>
      </c>
      <c r="M28" s="11">
        <f t="shared" si="1"/>
        <v>1.2658227848101266E-2</v>
      </c>
      <c r="N28">
        <f>SUM(L$4:L28)</f>
        <v>1139</v>
      </c>
      <c r="O28" s="12">
        <f>SUM(M$4:M28)</f>
        <v>0.60073839662447237</v>
      </c>
    </row>
    <row r="29" spans="1:15" x14ac:dyDescent="0.25">
      <c r="A29" s="1">
        <v>26</v>
      </c>
      <c r="B29" s="1" t="s">
        <v>15</v>
      </c>
      <c r="C29" s="1">
        <v>742.97</v>
      </c>
      <c r="D29" s="1">
        <v>6</v>
      </c>
      <c r="E29" s="11">
        <f t="shared" si="0"/>
        <v>1.1214953271028037E-2</v>
      </c>
      <c r="F29">
        <f>SUM(D$4:D29)</f>
        <v>370</v>
      </c>
      <c r="G29" s="12">
        <f>SUM(E$4:E29)</f>
        <v>0.69158878504672916</v>
      </c>
      <c r="I29" s="1" t="s">
        <v>103</v>
      </c>
      <c r="J29" s="1" t="s">
        <v>41</v>
      </c>
      <c r="K29" s="2">
        <v>3548.49</v>
      </c>
      <c r="L29" s="1">
        <v>24</v>
      </c>
      <c r="M29" s="11">
        <f t="shared" si="1"/>
        <v>1.2658227848101266E-2</v>
      </c>
      <c r="N29">
        <f>SUM(L$4:L29)</f>
        <v>1163</v>
      </c>
      <c r="O29" s="12">
        <f>SUM(M$4:M29)</f>
        <v>0.61339662447257359</v>
      </c>
    </row>
    <row r="30" spans="1:15" x14ac:dyDescent="0.25">
      <c r="A30" s="3">
        <v>27</v>
      </c>
      <c r="B30" s="3" t="s">
        <v>2</v>
      </c>
      <c r="C30" s="3">
        <v>666.25</v>
      </c>
      <c r="D30" s="3">
        <v>5</v>
      </c>
      <c r="E30" s="11">
        <f t="shared" si="0"/>
        <v>9.3457943925233638E-3</v>
      </c>
      <c r="F30">
        <f>SUM(D$4:D30)</f>
        <v>375</v>
      </c>
      <c r="G30" s="12">
        <f>SUM(E$4:E30)</f>
        <v>0.70093457943925253</v>
      </c>
      <c r="I30" s="3" t="s">
        <v>103</v>
      </c>
      <c r="J30" s="3" t="s">
        <v>67</v>
      </c>
      <c r="K30" s="4">
        <v>2530.84</v>
      </c>
      <c r="L30" s="3">
        <v>24</v>
      </c>
      <c r="M30" s="11">
        <f t="shared" si="1"/>
        <v>1.2658227848101266E-2</v>
      </c>
      <c r="N30">
        <f>SUM(L$4:L30)</f>
        <v>1187</v>
      </c>
      <c r="O30" s="12">
        <f>SUM(M$4:M30)</f>
        <v>0.62605485232067482</v>
      </c>
    </row>
    <row r="31" spans="1:15" x14ac:dyDescent="0.25">
      <c r="A31" s="1" t="s">
        <v>103</v>
      </c>
      <c r="B31" s="1" t="s">
        <v>61</v>
      </c>
      <c r="C31" s="1">
        <v>478.51</v>
      </c>
      <c r="D31" s="1">
        <v>5</v>
      </c>
      <c r="E31" s="11">
        <f t="shared" si="0"/>
        <v>9.3457943925233638E-3</v>
      </c>
      <c r="F31">
        <f>SUM(D$4:D31)</f>
        <v>380</v>
      </c>
      <c r="G31" s="12">
        <f>SUM(E$4:E31)</f>
        <v>0.71028037383177589</v>
      </c>
      <c r="I31" s="1">
        <v>28</v>
      </c>
      <c r="J31" s="1" t="s">
        <v>66</v>
      </c>
      <c r="K31" s="2">
        <v>2351.9299999999998</v>
      </c>
      <c r="L31" s="1">
        <v>21</v>
      </c>
      <c r="M31" s="11">
        <f t="shared" si="1"/>
        <v>1.1075949367088608E-2</v>
      </c>
      <c r="N31">
        <f>SUM(L$4:L31)</f>
        <v>1208</v>
      </c>
      <c r="O31" s="12">
        <f>SUM(M$4:M31)</f>
        <v>0.63713080168776337</v>
      </c>
    </row>
    <row r="32" spans="1:15" x14ac:dyDescent="0.25">
      <c r="A32" s="3" t="s">
        <v>103</v>
      </c>
      <c r="B32" s="3" t="s">
        <v>21</v>
      </c>
      <c r="C32" s="3">
        <v>411.42</v>
      </c>
      <c r="D32" s="3">
        <v>5</v>
      </c>
      <c r="E32" s="11">
        <f t="shared" si="0"/>
        <v>9.3457943925233638E-3</v>
      </c>
      <c r="F32">
        <f>SUM(D$4:D32)</f>
        <v>385</v>
      </c>
      <c r="G32" s="12">
        <f>SUM(E$4:E32)</f>
        <v>0.71962616822429926</v>
      </c>
      <c r="I32" s="3" t="s">
        <v>103</v>
      </c>
      <c r="J32" s="3" t="s">
        <v>30</v>
      </c>
      <c r="K32" s="4">
        <v>1608.66</v>
      </c>
      <c r="L32" s="3">
        <v>21</v>
      </c>
      <c r="M32" s="11">
        <f t="shared" si="1"/>
        <v>1.1075949367088608E-2</v>
      </c>
      <c r="N32">
        <f>SUM(L$4:L32)</f>
        <v>1229</v>
      </c>
      <c r="O32" s="12">
        <f>SUM(M$4:M32)</f>
        <v>0.64820675105485193</v>
      </c>
    </row>
    <row r="33" spans="1:15" x14ac:dyDescent="0.25">
      <c r="A33" s="1" t="s">
        <v>103</v>
      </c>
      <c r="B33" s="1" t="s">
        <v>24</v>
      </c>
      <c r="C33" s="1">
        <v>962.05</v>
      </c>
      <c r="D33" s="1">
        <v>5</v>
      </c>
      <c r="E33" s="11">
        <f t="shared" si="0"/>
        <v>9.3457943925233638E-3</v>
      </c>
      <c r="F33">
        <f>SUM(D$4:D33)</f>
        <v>390</v>
      </c>
      <c r="G33" s="12">
        <f>SUM(E$4:E33)</f>
        <v>0.72897196261682262</v>
      </c>
      <c r="I33" s="1">
        <v>30</v>
      </c>
      <c r="J33" s="1" t="s">
        <v>36</v>
      </c>
      <c r="K33" s="1">
        <v>951.49</v>
      </c>
      <c r="L33" s="1">
        <v>20</v>
      </c>
      <c r="M33" s="11">
        <f t="shared" si="1"/>
        <v>1.0548523206751054E-2</v>
      </c>
      <c r="N33">
        <f>SUM(L$4:L33)</f>
        <v>1249</v>
      </c>
      <c r="O33" s="12">
        <f>SUM(M$4:M33)</f>
        <v>0.65875527426160296</v>
      </c>
    </row>
    <row r="34" spans="1:15" x14ac:dyDescent="0.25">
      <c r="A34" s="3" t="s">
        <v>103</v>
      </c>
      <c r="B34" s="3" t="s">
        <v>48</v>
      </c>
      <c r="C34" s="3">
        <v>631.22</v>
      </c>
      <c r="D34" s="3">
        <v>5</v>
      </c>
      <c r="E34" s="11">
        <f t="shared" si="0"/>
        <v>9.3457943925233638E-3</v>
      </c>
      <c r="F34">
        <f>SUM(D$4:D34)</f>
        <v>395</v>
      </c>
      <c r="G34" s="12">
        <f>SUM(E$4:E34)</f>
        <v>0.73831775700934599</v>
      </c>
      <c r="I34" s="3">
        <v>31</v>
      </c>
      <c r="J34" s="3" t="s">
        <v>49</v>
      </c>
      <c r="K34" s="4">
        <v>1310.3800000000001</v>
      </c>
      <c r="L34" s="3">
        <v>19</v>
      </c>
      <c r="M34" s="11">
        <f t="shared" si="1"/>
        <v>1.0021097046413503E-2</v>
      </c>
      <c r="N34">
        <f>SUM(L$4:L34)</f>
        <v>1268</v>
      </c>
      <c r="O34" s="12">
        <f>SUM(M$4:M34)</f>
        <v>0.66877637130801648</v>
      </c>
    </row>
    <row r="35" spans="1:15" x14ac:dyDescent="0.25">
      <c r="A35" s="1" t="s">
        <v>103</v>
      </c>
      <c r="B35" s="1" t="s">
        <v>59</v>
      </c>
      <c r="C35" s="1">
        <v>445.14</v>
      </c>
      <c r="D35" s="1">
        <v>5</v>
      </c>
      <c r="E35" s="11">
        <f t="shared" si="0"/>
        <v>9.3457943925233638E-3</v>
      </c>
      <c r="F35">
        <f>SUM(D$4:D35)</f>
        <v>400</v>
      </c>
      <c r="G35" s="12">
        <f>SUM(E$4:E35)</f>
        <v>0.74766355140186935</v>
      </c>
      <c r="I35" s="1" t="s">
        <v>103</v>
      </c>
      <c r="J35" s="1" t="s">
        <v>100</v>
      </c>
      <c r="K35" s="2">
        <v>1645.89</v>
      </c>
      <c r="L35" s="1">
        <v>19</v>
      </c>
      <c r="M35" s="11">
        <f t="shared" si="1"/>
        <v>1.0021097046413503E-2</v>
      </c>
      <c r="N35">
        <f>SUM(L$4:L35)</f>
        <v>1287</v>
      </c>
      <c r="O35" s="12">
        <f>SUM(M$4:M35)</f>
        <v>0.67879746835443</v>
      </c>
    </row>
    <row r="36" spans="1:15" x14ac:dyDescent="0.25">
      <c r="A36" s="3">
        <v>33</v>
      </c>
      <c r="B36" s="3" t="s">
        <v>35</v>
      </c>
      <c r="C36" s="3">
        <v>453.29</v>
      </c>
      <c r="D36" s="3">
        <v>4</v>
      </c>
      <c r="E36" s="11">
        <f t="shared" si="0"/>
        <v>7.4766355140186919E-3</v>
      </c>
      <c r="F36">
        <f>SUM(D$4:D36)</f>
        <v>404</v>
      </c>
      <c r="G36" s="12">
        <f>SUM(E$4:E36)</f>
        <v>0.75514018691588802</v>
      </c>
      <c r="I36" s="3">
        <v>33</v>
      </c>
      <c r="J36" s="3" t="s">
        <v>15</v>
      </c>
      <c r="K36" s="4">
        <v>1898.28</v>
      </c>
      <c r="L36" s="3">
        <v>17</v>
      </c>
      <c r="M36" s="11">
        <f t="shared" si="1"/>
        <v>8.9662447257383964E-3</v>
      </c>
      <c r="N36">
        <f>SUM(L$4:L36)</f>
        <v>1304</v>
      </c>
      <c r="O36" s="12">
        <f>SUM(M$4:M36)</f>
        <v>0.68776371308016837</v>
      </c>
    </row>
    <row r="37" spans="1:15" x14ac:dyDescent="0.25">
      <c r="A37" s="1" t="s">
        <v>103</v>
      </c>
      <c r="B37" s="1" t="s">
        <v>84</v>
      </c>
      <c r="C37" s="1">
        <v>897.08</v>
      </c>
      <c r="D37" s="1">
        <v>4</v>
      </c>
      <c r="E37" s="11">
        <f t="shared" si="0"/>
        <v>7.4766355140186919E-3</v>
      </c>
      <c r="F37">
        <f>SUM(D$4:D37)</f>
        <v>408</v>
      </c>
      <c r="G37" s="12">
        <f>SUM(E$4:E37)</f>
        <v>0.76261682242990669</v>
      </c>
      <c r="I37" s="1">
        <v>34</v>
      </c>
      <c r="J37" s="1" t="s">
        <v>52</v>
      </c>
      <c r="K37" s="2">
        <v>1316.52</v>
      </c>
      <c r="L37" s="1">
        <v>16</v>
      </c>
      <c r="M37" s="11">
        <f t="shared" si="1"/>
        <v>8.4388185654008432E-3</v>
      </c>
      <c r="N37">
        <f>SUM(L$4:L37)</f>
        <v>1320</v>
      </c>
      <c r="O37" s="12">
        <f>SUM(M$4:M37)</f>
        <v>0.69620253164556922</v>
      </c>
    </row>
    <row r="38" spans="1:15" x14ac:dyDescent="0.25">
      <c r="A38" s="3" t="s">
        <v>103</v>
      </c>
      <c r="B38" s="3" t="s">
        <v>3</v>
      </c>
      <c r="C38" s="3">
        <v>294.85000000000002</v>
      </c>
      <c r="D38" s="3">
        <v>4</v>
      </c>
      <c r="E38" s="11">
        <f t="shared" si="0"/>
        <v>7.4766355140186919E-3</v>
      </c>
      <c r="F38">
        <f>SUM(D$4:D38)</f>
        <v>412</v>
      </c>
      <c r="G38" s="12">
        <f>SUM(E$4:E38)</f>
        <v>0.77009345794392536</v>
      </c>
      <c r="I38" s="3">
        <v>35</v>
      </c>
      <c r="J38" s="3" t="s">
        <v>81</v>
      </c>
      <c r="K38" s="4">
        <v>1288.76</v>
      </c>
      <c r="L38" s="3">
        <v>15</v>
      </c>
      <c r="M38" s="11">
        <f t="shared" si="1"/>
        <v>7.9113924050632917E-3</v>
      </c>
      <c r="N38">
        <f>SUM(L$4:L38)</f>
        <v>1335</v>
      </c>
      <c r="O38" s="12">
        <f>SUM(M$4:M38)</f>
        <v>0.70411392405063256</v>
      </c>
    </row>
    <row r="39" spans="1:15" x14ac:dyDescent="0.25">
      <c r="A39" s="1" t="s">
        <v>103</v>
      </c>
      <c r="B39" s="1" t="s">
        <v>111</v>
      </c>
      <c r="C39" s="1">
        <v>467.41</v>
      </c>
      <c r="D39" s="1">
        <v>4</v>
      </c>
      <c r="E39" s="11">
        <f t="shared" si="0"/>
        <v>7.4766355140186919E-3</v>
      </c>
      <c r="F39">
        <f>SUM(D$4:D39)</f>
        <v>416</v>
      </c>
      <c r="G39" s="12">
        <f>SUM(E$4:E39)</f>
        <v>0.77757009345794403</v>
      </c>
      <c r="I39" s="1" t="s">
        <v>103</v>
      </c>
      <c r="J39" s="1" t="s">
        <v>37</v>
      </c>
      <c r="K39" s="2">
        <v>1790</v>
      </c>
      <c r="L39" s="1">
        <v>15</v>
      </c>
      <c r="M39" s="11">
        <f t="shared" si="1"/>
        <v>7.9113924050632917E-3</v>
      </c>
      <c r="N39">
        <f>SUM(L$4:L39)</f>
        <v>1350</v>
      </c>
      <c r="O39" s="12">
        <f>SUM(M$4:M39)</f>
        <v>0.71202531645569589</v>
      </c>
    </row>
    <row r="40" spans="1:15" x14ac:dyDescent="0.25">
      <c r="A40" s="3" t="s">
        <v>103</v>
      </c>
      <c r="B40" s="3" t="s">
        <v>41</v>
      </c>
      <c r="C40" s="3">
        <v>437.38</v>
      </c>
      <c r="D40" s="3">
        <v>4</v>
      </c>
      <c r="E40" s="11">
        <f t="shared" si="0"/>
        <v>7.4766355140186919E-3</v>
      </c>
      <c r="F40">
        <f>SUM(D$4:D40)</f>
        <v>420</v>
      </c>
      <c r="G40" s="12">
        <f>SUM(E$4:E40)</f>
        <v>0.7850467289719627</v>
      </c>
      <c r="I40" s="3">
        <v>37</v>
      </c>
      <c r="J40" s="3" t="s">
        <v>79</v>
      </c>
      <c r="K40" s="4">
        <v>1081.3599999999999</v>
      </c>
      <c r="L40" s="3">
        <v>14</v>
      </c>
      <c r="M40" s="11">
        <f t="shared" si="1"/>
        <v>7.3839662447257384E-3</v>
      </c>
      <c r="N40">
        <f>SUM(L$4:L40)</f>
        <v>1364</v>
      </c>
      <c r="O40" s="12">
        <f>SUM(M$4:M40)</f>
        <v>0.71940928270042159</v>
      </c>
    </row>
    <row r="41" spans="1:15" x14ac:dyDescent="0.25">
      <c r="A41" s="1" t="s">
        <v>103</v>
      </c>
      <c r="B41" s="1" t="s">
        <v>63</v>
      </c>
      <c r="C41" s="1">
        <v>564.34</v>
      </c>
      <c r="D41" s="1">
        <v>4</v>
      </c>
      <c r="E41" s="11">
        <f t="shared" si="0"/>
        <v>7.4766355140186919E-3</v>
      </c>
      <c r="F41">
        <f>SUM(D$4:D41)</f>
        <v>424</v>
      </c>
      <c r="G41" s="12">
        <f>SUM(E$4:E41)</f>
        <v>0.79252336448598137</v>
      </c>
      <c r="I41" s="1">
        <v>38</v>
      </c>
      <c r="J41" s="1" t="s">
        <v>35</v>
      </c>
      <c r="K41" s="2">
        <v>1691.58</v>
      </c>
      <c r="L41" s="1">
        <v>13</v>
      </c>
      <c r="M41" s="11">
        <f t="shared" si="1"/>
        <v>6.8565400843881861E-3</v>
      </c>
      <c r="N41">
        <f>SUM(L$4:L41)</f>
        <v>1377</v>
      </c>
      <c r="O41" s="12">
        <f>SUM(M$4:M41)</f>
        <v>0.72626582278480978</v>
      </c>
    </row>
    <row r="42" spans="1:15" x14ac:dyDescent="0.25">
      <c r="A42" s="3">
        <v>39</v>
      </c>
      <c r="B42" s="3" t="s">
        <v>101</v>
      </c>
      <c r="C42" s="3">
        <v>236.45</v>
      </c>
      <c r="D42" s="3">
        <v>3</v>
      </c>
      <c r="E42" s="11">
        <f t="shared" si="0"/>
        <v>5.6074766355140183E-3</v>
      </c>
      <c r="F42">
        <f>SUM(D$4:D42)</f>
        <v>427</v>
      </c>
      <c r="G42" s="12">
        <f>SUM(E$4:E42)</f>
        <v>0.79813084112149535</v>
      </c>
      <c r="I42" s="3">
        <v>39</v>
      </c>
      <c r="J42" s="3" t="s">
        <v>2</v>
      </c>
      <c r="K42" s="4">
        <v>1238.3800000000001</v>
      </c>
      <c r="L42" s="3">
        <v>12</v>
      </c>
      <c r="M42" s="11">
        <f t="shared" si="1"/>
        <v>6.3291139240506328E-3</v>
      </c>
      <c r="N42">
        <f>SUM(L$4:L42)</f>
        <v>1389</v>
      </c>
      <c r="O42" s="12">
        <f>SUM(M$4:M42)</f>
        <v>0.73259493670886044</v>
      </c>
    </row>
    <row r="43" spans="1:15" x14ac:dyDescent="0.25">
      <c r="A43" s="1" t="s">
        <v>103</v>
      </c>
      <c r="B43" s="1" t="s">
        <v>66</v>
      </c>
      <c r="C43" s="1">
        <v>861.35</v>
      </c>
      <c r="D43" s="1">
        <v>3</v>
      </c>
      <c r="E43" s="11">
        <f t="shared" si="0"/>
        <v>5.6074766355140183E-3</v>
      </c>
      <c r="F43">
        <f>SUM(D$4:D43)</f>
        <v>430</v>
      </c>
      <c r="G43" s="12">
        <f>SUM(E$4:E43)</f>
        <v>0.80373831775700932</v>
      </c>
      <c r="I43" s="1">
        <v>40</v>
      </c>
      <c r="J43" s="1" t="s">
        <v>21</v>
      </c>
      <c r="K43" s="2">
        <v>1193.54</v>
      </c>
      <c r="L43" s="1">
        <v>11</v>
      </c>
      <c r="M43" s="11">
        <f t="shared" si="1"/>
        <v>5.8016877637130804E-3</v>
      </c>
      <c r="N43">
        <f>SUM(L$4:L43)</f>
        <v>1400</v>
      </c>
      <c r="O43" s="12">
        <f>SUM(M$4:M43)</f>
        <v>0.73839662447257348</v>
      </c>
    </row>
    <row r="44" spans="1:15" x14ac:dyDescent="0.25">
      <c r="A44" s="3" t="s">
        <v>103</v>
      </c>
      <c r="B44" s="3" t="s">
        <v>34</v>
      </c>
      <c r="C44" s="3">
        <v>407.46</v>
      </c>
      <c r="D44" s="3">
        <v>3</v>
      </c>
      <c r="E44" s="11">
        <f t="shared" si="0"/>
        <v>5.6074766355140183E-3</v>
      </c>
      <c r="F44">
        <f>SUM(D$4:D44)</f>
        <v>433</v>
      </c>
      <c r="G44" s="12">
        <f>SUM(E$4:E44)</f>
        <v>0.8093457943925233</v>
      </c>
      <c r="I44" s="3" t="s">
        <v>103</v>
      </c>
      <c r="J44" s="3" t="s">
        <v>120</v>
      </c>
      <c r="K44" s="3">
        <v>815.02</v>
      </c>
      <c r="L44" s="3">
        <v>11</v>
      </c>
      <c r="M44" s="11">
        <f t="shared" si="1"/>
        <v>5.8016877637130804E-3</v>
      </c>
      <c r="N44">
        <f>SUM(L$4:L44)</f>
        <v>1411</v>
      </c>
      <c r="O44" s="12">
        <f>SUM(M$4:M44)</f>
        <v>0.74419831223628652</v>
      </c>
    </row>
    <row r="45" spans="1:15" x14ac:dyDescent="0.25">
      <c r="A45" s="1" t="s">
        <v>103</v>
      </c>
      <c r="B45" s="1" t="s">
        <v>10</v>
      </c>
      <c r="C45" s="1">
        <v>157.33000000000001</v>
      </c>
      <c r="D45" s="1">
        <v>3</v>
      </c>
      <c r="E45" s="11">
        <f t="shared" si="0"/>
        <v>5.6074766355140183E-3</v>
      </c>
      <c r="F45">
        <f>SUM(D$4:D45)</f>
        <v>436</v>
      </c>
      <c r="G45" s="12">
        <f>SUM(E$4:E45)</f>
        <v>0.81495327102803727</v>
      </c>
      <c r="I45" s="1">
        <v>42</v>
      </c>
      <c r="J45" s="1" t="s">
        <v>121</v>
      </c>
      <c r="K45" s="1">
        <v>296.52</v>
      </c>
      <c r="L45" s="1">
        <v>10</v>
      </c>
      <c r="M45" s="11">
        <f t="shared" si="1"/>
        <v>5.2742616033755272E-3</v>
      </c>
      <c r="N45">
        <f>SUM(L$4:L45)</f>
        <v>1421</v>
      </c>
      <c r="O45" s="12">
        <f>SUM(M$4:M45)</f>
        <v>0.74947257383966204</v>
      </c>
    </row>
    <row r="46" spans="1:15" x14ac:dyDescent="0.25">
      <c r="A46" s="3" t="s">
        <v>103</v>
      </c>
      <c r="B46" s="3" t="s">
        <v>100</v>
      </c>
      <c r="C46" s="3">
        <v>333.78</v>
      </c>
      <c r="D46" s="3">
        <v>3</v>
      </c>
      <c r="E46" s="11">
        <f t="shared" si="0"/>
        <v>5.6074766355140183E-3</v>
      </c>
      <c r="F46">
        <f>SUM(D$4:D46)</f>
        <v>439</v>
      </c>
      <c r="G46" s="12">
        <f>SUM(E$4:E46)</f>
        <v>0.82056074766355125</v>
      </c>
      <c r="I46" s="3" t="s">
        <v>103</v>
      </c>
      <c r="J46" s="3" t="s">
        <v>122</v>
      </c>
      <c r="K46" s="3">
        <v>635.04</v>
      </c>
      <c r="L46" s="3">
        <v>10</v>
      </c>
      <c r="M46" s="11">
        <f t="shared" si="1"/>
        <v>5.2742616033755272E-3</v>
      </c>
      <c r="N46">
        <f>SUM(L$4:L46)</f>
        <v>1431</v>
      </c>
      <c r="O46" s="12">
        <f>SUM(M$4:M46)</f>
        <v>0.75474683544303756</v>
      </c>
    </row>
    <row r="47" spans="1:15" x14ac:dyDescent="0.25">
      <c r="A47" s="1" t="s">
        <v>103</v>
      </c>
      <c r="B47" s="1" t="s">
        <v>83</v>
      </c>
      <c r="C47" s="1">
        <v>279.91000000000003</v>
      </c>
      <c r="D47" s="1">
        <v>3</v>
      </c>
      <c r="E47" s="11">
        <f t="shared" si="0"/>
        <v>5.6074766355140183E-3</v>
      </c>
      <c r="F47">
        <f>SUM(D$4:D47)</f>
        <v>442</v>
      </c>
      <c r="G47" s="12">
        <f>SUM(E$4:E47)</f>
        <v>0.82616822429906522</v>
      </c>
      <c r="I47" s="1" t="s">
        <v>103</v>
      </c>
      <c r="J47" s="1" t="s">
        <v>123</v>
      </c>
      <c r="K47" s="2">
        <v>1601.02</v>
      </c>
      <c r="L47" s="1">
        <v>10</v>
      </c>
      <c r="M47" s="11">
        <f t="shared" si="1"/>
        <v>5.2742616033755272E-3</v>
      </c>
      <c r="N47">
        <f>SUM(L$4:L47)</f>
        <v>1441</v>
      </c>
      <c r="O47" s="12">
        <f>SUM(M$4:M47)</f>
        <v>0.76002109704641307</v>
      </c>
    </row>
    <row r="48" spans="1:15" x14ac:dyDescent="0.25">
      <c r="A48" s="3" t="s">
        <v>103</v>
      </c>
      <c r="B48" s="3" t="s">
        <v>72</v>
      </c>
      <c r="C48" s="3">
        <v>173.47</v>
      </c>
      <c r="D48" s="3">
        <v>3</v>
      </c>
      <c r="E48" s="11">
        <f t="shared" si="0"/>
        <v>5.6074766355140183E-3</v>
      </c>
      <c r="F48">
        <f>SUM(D$4:D48)</f>
        <v>445</v>
      </c>
      <c r="G48" s="12">
        <f>SUM(E$4:E48)</f>
        <v>0.8317757009345792</v>
      </c>
      <c r="I48" s="3">
        <v>45</v>
      </c>
      <c r="J48" s="3" t="s">
        <v>48</v>
      </c>
      <c r="K48" s="4">
        <v>1190.3499999999999</v>
      </c>
      <c r="L48" s="3">
        <v>9</v>
      </c>
      <c r="M48" s="11">
        <f t="shared" si="1"/>
        <v>4.7468354430379748E-3</v>
      </c>
      <c r="N48">
        <f>SUM(L$4:L48)</f>
        <v>1450</v>
      </c>
      <c r="O48" s="12">
        <f>SUM(M$4:M48)</f>
        <v>0.76476793248945107</v>
      </c>
    </row>
    <row r="49" spans="1:15" x14ac:dyDescent="0.25">
      <c r="A49" s="1" t="s">
        <v>103</v>
      </c>
      <c r="B49" s="1" t="s">
        <v>91</v>
      </c>
      <c r="C49" s="1">
        <v>306.2</v>
      </c>
      <c r="D49" s="1">
        <v>3</v>
      </c>
      <c r="E49" s="11">
        <f t="shared" si="0"/>
        <v>5.6074766355140183E-3</v>
      </c>
      <c r="F49">
        <f>SUM(D$4:D49)</f>
        <v>448</v>
      </c>
      <c r="G49" s="12">
        <f>SUM(E$4:E49)</f>
        <v>0.83738317757009317</v>
      </c>
      <c r="I49" s="1" t="s">
        <v>103</v>
      </c>
      <c r="J49" s="1" t="s">
        <v>54</v>
      </c>
      <c r="K49" s="1">
        <v>701.22</v>
      </c>
      <c r="L49" s="1">
        <v>9</v>
      </c>
      <c r="M49" s="11">
        <f t="shared" si="1"/>
        <v>4.7468354430379748E-3</v>
      </c>
      <c r="N49">
        <f>SUM(L$4:L49)</f>
        <v>1459</v>
      </c>
      <c r="O49" s="12">
        <f>SUM(M$4:M49)</f>
        <v>0.76951476793248907</v>
      </c>
    </row>
    <row r="50" spans="1:15" x14ac:dyDescent="0.25">
      <c r="A50" s="3" t="s">
        <v>103</v>
      </c>
      <c r="B50" s="3" t="s">
        <v>36</v>
      </c>
      <c r="C50" s="3">
        <v>157.08000000000001</v>
      </c>
      <c r="D50" s="3">
        <v>3</v>
      </c>
      <c r="E50" s="11">
        <f t="shared" si="0"/>
        <v>5.6074766355140183E-3</v>
      </c>
      <c r="F50">
        <f>SUM(D$4:D50)</f>
        <v>451</v>
      </c>
      <c r="G50" s="12">
        <f>SUM(E$4:E50)</f>
        <v>0.84299065420560715</v>
      </c>
      <c r="I50" s="3">
        <v>47</v>
      </c>
      <c r="J50" s="3" t="s">
        <v>124</v>
      </c>
      <c r="K50" s="3">
        <v>937.8</v>
      </c>
      <c r="L50" s="3">
        <v>8</v>
      </c>
      <c r="M50" s="11">
        <f t="shared" si="1"/>
        <v>4.2194092827004216E-3</v>
      </c>
      <c r="N50">
        <f>SUM(L$4:L50)</f>
        <v>1467</v>
      </c>
      <c r="O50" s="12">
        <f>SUM(M$4:M50)</f>
        <v>0.77373417721518944</v>
      </c>
    </row>
    <row r="51" spans="1:15" x14ac:dyDescent="0.25">
      <c r="A51" s="1" t="s">
        <v>103</v>
      </c>
      <c r="B51" s="1" t="s">
        <v>73</v>
      </c>
      <c r="C51" s="1">
        <v>279.69</v>
      </c>
      <c r="D51" s="1">
        <v>3</v>
      </c>
      <c r="E51" s="11">
        <f t="shared" si="0"/>
        <v>5.6074766355140183E-3</v>
      </c>
      <c r="F51">
        <f>SUM(D$4:D51)</f>
        <v>454</v>
      </c>
      <c r="G51" s="12">
        <f>SUM(E$4:E51)</f>
        <v>0.84859813084112112</v>
      </c>
      <c r="I51" s="1" t="s">
        <v>103</v>
      </c>
      <c r="J51" s="1" t="s">
        <v>114</v>
      </c>
      <c r="K51" s="1">
        <v>494.33</v>
      </c>
      <c r="L51" s="1">
        <v>8</v>
      </c>
      <c r="M51" s="11">
        <f t="shared" si="1"/>
        <v>4.2194092827004216E-3</v>
      </c>
      <c r="N51">
        <f>SUM(L$4:L51)</f>
        <v>1475</v>
      </c>
      <c r="O51" s="12">
        <f>SUM(M$4:M51)</f>
        <v>0.77795358649788982</v>
      </c>
    </row>
    <row r="52" spans="1:15" x14ac:dyDescent="0.25">
      <c r="A52" s="3" t="s">
        <v>103</v>
      </c>
      <c r="B52" s="3" t="s">
        <v>82</v>
      </c>
      <c r="C52" s="3">
        <v>291.62</v>
      </c>
      <c r="D52" s="3">
        <v>3</v>
      </c>
      <c r="E52" s="11">
        <f t="shared" si="0"/>
        <v>5.6074766355140183E-3</v>
      </c>
      <c r="F52">
        <f>SUM(D$4:D52)</f>
        <v>457</v>
      </c>
      <c r="G52" s="12">
        <f>SUM(E$4:E52)</f>
        <v>0.8542056074766351</v>
      </c>
      <c r="I52" s="3" t="s">
        <v>103</v>
      </c>
      <c r="J52" s="3" t="s">
        <v>24</v>
      </c>
      <c r="K52" s="4">
        <v>1399.91</v>
      </c>
      <c r="L52" s="3">
        <v>8</v>
      </c>
      <c r="M52" s="11">
        <f t="shared" si="1"/>
        <v>4.2194092827004216E-3</v>
      </c>
      <c r="N52">
        <f>SUM(L$4:L52)</f>
        <v>1483</v>
      </c>
      <c r="O52" s="12">
        <f>SUM(M$4:M52)</f>
        <v>0.78217299578059019</v>
      </c>
    </row>
    <row r="53" spans="1:15" x14ac:dyDescent="0.25">
      <c r="A53" s="1" t="s">
        <v>103</v>
      </c>
      <c r="B53" s="1" t="s">
        <v>93</v>
      </c>
      <c r="C53" s="1">
        <v>301.51</v>
      </c>
      <c r="D53" s="1">
        <v>3</v>
      </c>
      <c r="E53" s="11">
        <f t="shared" si="0"/>
        <v>5.6074766355140183E-3</v>
      </c>
      <c r="F53">
        <f>SUM(D$4:D53)</f>
        <v>460</v>
      </c>
      <c r="G53" s="12">
        <f>SUM(E$4:E53)</f>
        <v>0.85981308411214907</v>
      </c>
      <c r="I53" s="1" t="s">
        <v>103</v>
      </c>
      <c r="J53" s="1" t="s">
        <v>61</v>
      </c>
      <c r="K53" s="1">
        <v>910.25</v>
      </c>
      <c r="L53" s="1">
        <v>8</v>
      </c>
      <c r="M53" s="11">
        <f t="shared" si="1"/>
        <v>4.2194092827004216E-3</v>
      </c>
      <c r="N53">
        <f>SUM(L$4:L53)</f>
        <v>1491</v>
      </c>
      <c r="O53" s="12">
        <f>SUM(M$4:M53)</f>
        <v>0.78639240506329056</v>
      </c>
    </row>
    <row r="54" spans="1:15" x14ac:dyDescent="0.25">
      <c r="A54" s="3" t="s">
        <v>103</v>
      </c>
      <c r="B54" s="3" t="s">
        <v>13</v>
      </c>
      <c r="C54" s="3">
        <v>158.69999999999999</v>
      </c>
      <c r="D54" s="3">
        <v>3</v>
      </c>
      <c r="E54" s="11">
        <f t="shared" si="0"/>
        <v>5.6074766355140183E-3</v>
      </c>
      <c r="F54">
        <f>SUM(D$4:D54)</f>
        <v>463</v>
      </c>
      <c r="G54" s="12">
        <f>SUM(E$4:E54)</f>
        <v>0.86542056074766305</v>
      </c>
      <c r="I54" s="3" t="s">
        <v>103</v>
      </c>
      <c r="J54" s="3" t="s">
        <v>125</v>
      </c>
      <c r="K54" s="3">
        <v>772.22</v>
      </c>
      <c r="L54" s="3">
        <v>8</v>
      </c>
      <c r="M54" s="11">
        <f t="shared" si="1"/>
        <v>4.2194092827004216E-3</v>
      </c>
      <c r="N54">
        <f>SUM(L$4:L54)</f>
        <v>1499</v>
      </c>
      <c r="O54" s="12">
        <f>SUM(M$4:M54)</f>
        <v>0.79061181434599093</v>
      </c>
    </row>
    <row r="55" spans="1:15" x14ac:dyDescent="0.25">
      <c r="A55" s="1">
        <v>52</v>
      </c>
      <c r="B55" s="1" t="s">
        <v>71</v>
      </c>
      <c r="C55" s="1">
        <v>626.82000000000005</v>
      </c>
      <c r="D55" s="1">
        <v>2</v>
      </c>
      <c r="E55" s="11">
        <f t="shared" si="0"/>
        <v>3.7383177570093459E-3</v>
      </c>
      <c r="F55">
        <f>SUM(D$4:D55)</f>
        <v>465</v>
      </c>
      <c r="G55" s="12">
        <f>SUM(E$4:E55)</f>
        <v>0.86915887850467244</v>
      </c>
      <c r="I55" s="1" t="s">
        <v>103</v>
      </c>
      <c r="J55" s="1" t="s">
        <v>65</v>
      </c>
      <c r="K55" s="1">
        <v>575.87</v>
      </c>
      <c r="L55" s="1">
        <v>8</v>
      </c>
      <c r="M55" s="11">
        <f t="shared" si="1"/>
        <v>4.2194092827004216E-3</v>
      </c>
      <c r="N55">
        <f>SUM(L$4:L55)</f>
        <v>1507</v>
      </c>
      <c r="O55" s="12">
        <f>SUM(M$4:M55)</f>
        <v>0.7948312236286913</v>
      </c>
    </row>
    <row r="56" spans="1:15" x14ac:dyDescent="0.25">
      <c r="A56" s="3" t="s">
        <v>103</v>
      </c>
      <c r="B56" s="3" t="s">
        <v>114</v>
      </c>
      <c r="C56" s="3">
        <v>124.81</v>
      </c>
      <c r="D56" s="3">
        <v>2</v>
      </c>
      <c r="E56" s="11">
        <f t="shared" si="0"/>
        <v>3.7383177570093459E-3</v>
      </c>
      <c r="F56">
        <f>SUM(D$4:D56)</f>
        <v>467</v>
      </c>
      <c r="G56" s="12">
        <f>SUM(E$4:E56)</f>
        <v>0.87289719626168183</v>
      </c>
      <c r="I56" s="3" t="s">
        <v>103</v>
      </c>
      <c r="J56" s="3" t="s">
        <v>78</v>
      </c>
      <c r="K56" s="3">
        <v>182.43</v>
      </c>
      <c r="L56" s="3">
        <v>8</v>
      </c>
      <c r="M56" s="11">
        <f t="shared" si="1"/>
        <v>4.2194092827004216E-3</v>
      </c>
      <c r="N56">
        <f>SUM(L$4:L56)</f>
        <v>1515</v>
      </c>
      <c r="O56" s="12">
        <f>SUM(M$4:M56)</f>
        <v>0.79905063291139167</v>
      </c>
    </row>
    <row r="57" spans="1:15" x14ac:dyDescent="0.25">
      <c r="A57" s="1" t="s">
        <v>103</v>
      </c>
      <c r="B57" s="1" t="s">
        <v>22</v>
      </c>
      <c r="C57" s="1">
        <v>260.61</v>
      </c>
      <c r="D57" s="1">
        <v>2</v>
      </c>
      <c r="E57" s="11">
        <f t="shared" si="0"/>
        <v>3.7383177570093459E-3</v>
      </c>
      <c r="F57">
        <f>SUM(D$4:D57)</f>
        <v>469</v>
      </c>
      <c r="G57" s="12">
        <f>SUM(E$4:E57)</f>
        <v>0.87663551401869122</v>
      </c>
      <c r="I57" s="1">
        <v>54</v>
      </c>
      <c r="J57" s="1" t="s">
        <v>96</v>
      </c>
      <c r="K57" s="1">
        <v>423.82</v>
      </c>
      <c r="L57" s="1">
        <v>7</v>
      </c>
      <c r="M57" s="11">
        <f t="shared" si="1"/>
        <v>3.6919831223628692E-3</v>
      </c>
      <c r="N57">
        <f>SUM(L$4:L57)</f>
        <v>1522</v>
      </c>
      <c r="O57" s="12">
        <f>SUM(M$4:M57)</f>
        <v>0.80274261603375452</v>
      </c>
    </row>
    <row r="58" spans="1:15" x14ac:dyDescent="0.25">
      <c r="A58" s="3" t="s">
        <v>103</v>
      </c>
      <c r="B58" s="3" t="s">
        <v>109</v>
      </c>
      <c r="C58" s="3">
        <v>181.89</v>
      </c>
      <c r="D58" s="3">
        <v>2</v>
      </c>
      <c r="E58" s="11">
        <f t="shared" si="0"/>
        <v>3.7383177570093459E-3</v>
      </c>
      <c r="F58">
        <f>SUM(D$4:D58)</f>
        <v>471</v>
      </c>
      <c r="G58" s="12">
        <f>SUM(E$4:E58)</f>
        <v>0.88037383177570061</v>
      </c>
      <c r="I58" s="3" t="s">
        <v>103</v>
      </c>
      <c r="J58" s="3" t="s">
        <v>10</v>
      </c>
      <c r="K58" s="3">
        <v>326.33999999999997</v>
      </c>
      <c r="L58" s="3">
        <v>7</v>
      </c>
      <c r="M58" s="11">
        <f t="shared" si="1"/>
        <v>3.6919831223628692E-3</v>
      </c>
      <c r="N58">
        <f>SUM(L$4:L58)</f>
        <v>1529</v>
      </c>
      <c r="O58" s="12">
        <f>SUM(M$4:M58)</f>
        <v>0.80643459915611737</v>
      </c>
    </row>
    <row r="59" spans="1:15" x14ac:dyDescent="0.25">
      <c r="A59" s="1" t="s">
        <v>103</v>
      </c>
      <c r="B59" s="1" t="s">
        <v>64</v>
      </c>
      <c r="C59" s="1">
        <v>121.14</v>
      </c>
      <c r="D59" s="1">
        <v>2</v>
      </c>
      <c r="E59" s="11">
        <f t="shared" si="0"/>
        <v>3.7383177570093459E-3</v>
      </c>
      <c r="F59">
        <f>SUM(D$4:D59)</f>
        <v>473</v>
      </c>
      <c r="G59" s="12">
        <f>SUM(E$4:E59)</f>
        <v>0.88411214953271</v>
      </c>
      <c r="I59" s="1" t="s">
        <v>103</v>
      </c>
      <c r="J59" s="1" t="s">
        <v>63</v>
      </c>
      <c r="K59" s="1">
        <v>720.18</v>
      </c>
      <c r="L59" s="1">
        <v>7</v>
      </c>
      <c r="M59" s="11">
        <f t="shared" si="1"/>
        <v>3.6919831223628692E-3</v>
      </c>
      <c r="N59">
        <f>SUM(L$4:L59)</f>
        <v>1536</v>
      </c>
      <c r="O59" s="12">
        <f>SUM(M$4:M59)</f>
        <v>0.81012658227848022</v>
      </c>
    </row>
    <row r="60" spans="1:15" x14ac:dyDescent="0.25">
      <c r="A60" s="3" t="s">
        <v>103</v>
      </c>
      <c r="B60" s="3" t="s">
        <v>12</v>
      </c>
      <c r="C60" s="3">
        <v>255.49</v>
      </c>
      <c r="D60" s="3">
        <v>2</v>
      </c>
      <c r="E60" s="11">
        <f t="shared" si="0"/>
        <v>3.7383177570093459E-3</v>
      </c>
      <c r="F60">
        <f>SUM(D$4:D60)</f>
        <v>475</v>
      </c>
      <c r="G60" s="12">
        <f>SUM(E$4:E60)</f>
        <v>0.88785046728971939</v>
      </c>
      <c r="I60" s="3" t="s">
        <v>103</v>
      </c>
      <c r="J60" s="3" t="s">
        <v>71</v>
      </c>
      <c r="K60" s="4">
        <v>1111.9100000000001</v>
      </c>
      <c r="L60" s="3">
        <v>7</v>
      </c>
      <c r="M60" s="11">
        <f t="shared" si="1"/>
        <v>3.6919831223628692E-3</v>
      </c>
      <c r="N60">
        <f>SUM(L$4:L60)</f>
        <v>1543</v>
      </c>
      <c r="O60" s="12">
        <f>SUM(M$4:M60)</f>
        <v>0.81381856540084307</v>
      </c>
    </row>
    <row r="61" spans="1:15" x14ac:dyDescent="0.25">
      <c r="A61" s="1" t="s">
        <v>103</v>
      </c>
      <c r="B61" s="1" t="s">
        <v>108</v>
      </c>
      <c r="C61" s="1">
        <v>116.06</v>
      </c>
      <c r="D61" s="1">
        <v>2</v>
      </c>
      <c r="E61" s="11">
        <f t="shared" si="0"/>
        <v>3.7383177570093459E-3</v>
      </c>
      <c r="F61">
        <f>SUM(D$4:D61)</f>
        <v>477</v>
      </c>
      <c r="G61" s="12">
        <f>SUM(E$4:E61)</f>
        <v>0.89158878504672878</v>
      </c>
      <c r="I61" s="1" t="s">
        <v>103</v>
      </c>
      <c r="J61" s="1" t="s">
        <v>64</v>
      </c>
      <c r="K61" s="1">
        <v>496.27</v>
      </c>
      <c r="L61" s="1">
        <v>7</v>
      </c>
      <c r="M61" s="11">
        <f t="shared" si="1"/>
        <v>3.6919831223628692E-3</v>
      </c>
      <c r="N61">
        <f>SUM(L$4:L61)</f>
        <v>1550</v>
      </c>
      <c r="O61" s="12">
        <f>SUM(M$4:M61)</f>
        <v>0.81751054852320593</v>
      </c>
    </row>
    <row r="62" spans="1:15" x14ac:dyDescent="0.25">
      <c r="A62" s="3" t="s">
        <v>103</v>
      </c>
      <c r="B62" s="3" t="s">
        <v>94</v>
      </c>
      <c r="C62" s="3">
        <v>260.39</v>
      </c>
      <c r="D62" s="3">
        <v>2</v>
      </c>
      <c r="E62" s="11">
        <f t="shared" si="0"/>
        <v>3.7383177570093459E-3</v>
      </c>
      <c r="F62">
        <f>SUM(D$4:D62)</f>
        <v>479</v>
      </c>
      <c r="G62" s="12">
        <f>SUM(E$4:E62)</f>
        <v>0.89532710280373817</v>
      </c>
      <c r="I62" s="3" t="s">
        <v>103</v>
      </c>
      <c r="J62" s="3" t="s">
        <v>57</v>
      </c>
      <c r="K62" s="3">
        <v>715.13</v>
      </c>
      <c r="L62" s="3">
        <v>7</v>
      </c>
      <c r="M62" s="11">
        <f t="shared" si="1"/>
        <v>3.6919831223628692E-3</v>
      </c>
      <c r="N62">
        <f>SUM(L$4:L62)</f>
        <v>1557</v>
      </c>
      <c r="O62" s="12">
        <f>SUM(M$4:M62)</f>
        <v>0.82120253164556878</v>
      </c>
    </row>
    <row r="63" spans="1:15" x14ac:dyDescent="0.25">
      <c r="A63" s="1" t="s">
        <v>103</v>
      </c>
      <c r="B63" s="1" t="s">
        <v>115</v>
      </c>
      <c r="C63" s="1">
        <v>115.41</v>
      </c>
      <c r="D63" s="1">
        <v>2</v>
      </c>
      <c r="E63" s="11">
        <f t="shared" si="0"/>
        <v>3.7383177570093459E-3</v>
      </c>
      <c r="F63">
        <f>SUM(D$4:D63)</f>
        <v>481</v>
      </c>
      <c r="G63" s="12">
        <f>SUM(E$4:E63)</f>
        <v>0.89906542056074756</v>
      </c>
      <c r="I63" s="1" t="s">
        <v>103</v>
      </c>
      <c r="J63" s="1" t="s">
        <v>110</v>
      </c>
      <c r="K63" s="1">
        <v>527.32000000000005</v>
      </c>
      <c r="L63" s="1">
        <v>7</v>
      </c>
      <c r="M63" s="11">
        <f t="shared" si="1"/>
        <v>3.6919831223628692E-3</v>
      </c>
      <c r="N63">
        <f>SUM(L$4:L63)</f>
        <v>1564</v>
      </c>
      <c r="O63" s="12">
        <f>SUM(M$4:M63)</f>
        <v>0.82489451476793163</v>
      </c>
    </row>
    <row r="64" spans="1:15" x14ac:dyDescent="0.25">
      <c r="A64" s="3" t="s">
        <v>103</v>
      </c>
      <c r="B64" s="3" t="s">
        <v>78</v>
      </c>
      <c r="C64" s="3">
        <v>33.17</v>
      </c>
      <c r="D64" s="3">
        <v>2</v>
      </c>
      <c r="E64" s="11">
        <f t="shared" si="0"/>
        <v>3.7383177570093459E-3</v>
      </c>
      <c r="F64">
        <f>SUM(D$4:D64)</f>
        <v>483</v>
      </c>
      <c r="G64" s="12">
        <f>SUM(E$4:E64)</f>
        <v>0.90280373831775695</v>
      </c>
      <c r="I64" s="3">
        <v>61</v>
      </c>
      <c r="J64" s="3" t="s">
        <v>126</v>
      </c>
      <c r="K64" s="3">
        <v>553.92999999999995</v>
      </c>
      <c r="L64" s="3">
        <v>6</v>
      </c>
      <c r="M64" s="11">
        <f t="shared" si="1"/>
        <v>3.1645569620253164E-3</v>
      </c>
      <c r="N64">
        <f>SUM(L$4:L64)</f>
        <v>1570</v>
      </c>
      <c r="O64" s="12">
        <f>SUM(M$4:M64)</f>
        <v>0.82805907172995696</v>
      </c>
    </row>
    <row r="65" spans="1:15" x14ac:dyDescent="0.25">
      <c r="A65" s="1" t="s">
        <v>103</v>
      </c>
      <c r="B65" s="1" t="s">
        <v>28</v>
      </c>
      <c r="C65" s="1">
        <v>206.52</v>
      </c>
      <c r="D65" s="1">
        <v>2</v>
      </c>
      <c r="E65" s="11">
        <f t="shared" si="0"/>
        <v>3.7383177570093459E-3</v>
      </c>
      <c r="F65">
        <f>SUM(D$4:D65)</f>
        <v>485</v>
      </c>
      <c r="G65" s="12">
        <f>SUM(E$4:E65)</f>
        <v>0.90654205607476634</v>
      </c>
      <c r="I65" s="1" t="s">
        <v>103</v>
      </c>
      <c r="J65" s="1" t="s">
        <v>59</v>
      </c>
      <c r="K65" s="1">
        <v>512.69000000000005</v>
      </c>
      <c r="L65" s="1">
        <v>6</v>
      </c>
      <c r="M65" s="11">
        <f t="shared" si="1"/>
        <v>3.1645569620253164E-3</v>
      </c>
      <c r="N65">
        <f>SUM(L$4:L65)</f>
        <v>1576</v>
      </c>
      <c r="O65" s="12">
        <f>SUM(M$4:M65)</f>
        <v>0.8312236286919823</v>
      </c>
    </row>
    <row r="66" spans="1:15" x14ac:dyDescent="0.25">
      <c r="A66" s="3" t="s">
        <v>103</v>
      </c>
      <c r="B66" s="3" t="s">
        <v>23</v>
      </c>
      <c r="C66" s="3">
        <v>140.36000000000001</v>
      </c>
      <c r="D66" s="3">
        <v>2</v>
      </c>
      <c r="E66" s="11">
        <f t="shared" si="0"/>
        <v>3.7383177570093459E-3</v>
      </c>
      <c r="F66">
        <f>SUM(D$4:D66)</f>
        <v>487</v>
      </c>
      <c r="G66" s="12">
        <f>SUM(E$4:E66)</f>
        <v>0.91028037383177574</v>
      </c>
      <c r="I66" s="3" t="s">
        <v>103</v>
      </c>
      <c r="J66" s="3" t="s">
        <v>127</v>
      </c>
      <c r="K66" s="3">
        <v>98.07</v>
      </c>
      <c r="L66" s="3">
        <v>6</v>
      </c>
      <c r="M66" s="11">
        <f t="shared" si="1"/>
        <v>3.1645569620253164E-3</v>
      </c>
      <c r="N66">
        <f>SUM(L$4:L66)</f>
        <v>1582</v>
      </c>
      <c r="O66" s="12">
        <f>SUM(M$4:M66)</f>
        <v>0.83438818565400763</v>
      </c>
    </row>
    <row r="67" spans="1:15" x14ac:dyDescent="0.25">
      <c r="A67" s="1" t="s">
        <v>103</v>
      </c>
      <c r="B67" s="1" t="s">
        <v>17</v>
      </c>
      <c r="C67" s="1">
        <v>208.97</v>
      </c>
      <c r="D67" s="1">
        <v>2</v>
      </c>
      <c r="E67" s="11">
        <f t="shared" si="0"/>
        <v>3.7383177570093459E-3</v>
      </c>
      <c r="F67">
        <f>SUM(D$4:D67)</f>
        <v>489</v>
      </c>
      <c r="G67" s="12">
        <f>SUM(E$4:E67)</f>
        <v>0.91401869158878513</v>
      </c>
      <c r="I67" s="1" t="s">
        <v>103</v>
      </c>
      <c r="J67" s="1" t="s">
        <v>106</v>
      </c>
      <c r="K67" s="1">
        <v>321.08</v>
      </c>
      <c r="L67" s="1">
        <v>6</v>
      </c>
      <c r="M67" s="11">
        <f t="shared" si="1"/>
        <v>3.1645569620253164E-3</v>
      </c>
      <c r="N67">
        <f>SUM(L$4:L67)</f>
        <v>1588</v>
      </c>
      <c r="O67" s="12">
        <f>SUM(M$4:M67)</f>
        <v>0.83755274261603296</v>
      </c>
    </row>
    <row r="68" spans="1:15" x14ac:dyDescent="0.25">
      <c r="A68" s="3">
        <v>65</v>
      </c>
      <c r="B68" s="3" t="s">
        <v>69</v>
      </c>
      <c r="C68" s="3">
        <v>40.72</v>
      </c>
      <c r="D68" s="3">
        <v>1</v>
      </c>
      <c r="E68" s="11">
        <f t="shared" si="0"/>
        <v>1.869158878504673E-3</v>
      </c>
      <c r="F68">
        <f>SUM(D$4:D68)</f>
        <v>490</v>
      </c>
      <c r="G68" s="12">
        <f>SUM(E$4:E68)</f>
        <v>0.91588785046728982</v>
      </c>
      <c r="I68" s="3" t="s">
        <v>103</v>
      </c>
      <c r="J68" s="3" t="s">
        <v>128</v>
      </c>
      <c r="K68" s="3">
        <v>293.76</v>
      </c>
      <c r="L68" s="3">
        <v>6</v>
      </c>
      <c r="M68" s="11">
        <f t="shared" si="1"/>
        <v>3.1645569620253164E-3</v>
      </c>
      <c r="N68">
        <f>SUM(L$4:L68)</f>
        <v>1594</v>
      </c>
      <c r="O68" s="12">
        <f>SUM(M$4:M68)</f>
        <v>0.8407172995780583</v>
      </c>
    </row>
    <row r="69" spans="1:15" x14ac:dyDescent="0.25">
      <c r="A69" s="1" t="s">
        <v>103</v>
      </c>
      <c r="B69" s="1" t="s">
        <v>18</v>
      </c>
      <c r="C69" s="1">
        <v>70.91</v>
      </c>
      <c r="D69" s="1">
        <v>1</v>
      </c>
      <c r="E69" s="11">
        <f t="shared" ref="E69:E113" si="2">D69/SUM($D$4:$D$113)</f>
        <v>1.869158878504673E-3</v>
      </c>
      <c r="F69">
        <f>SUM(D$4:D69)</f>
        <v>491</v>
      </c>
      <c r="G69" s="12">
        <f>SUM(E$4:E69)</f>
        <v>0.91775700934579452</v>
      </c>
      <c r="I69" s="1" t="s">
        <v>103</v>
      </c>
      <c r="J69" s="1" t="s">
        <v>19</v>
      </c>
      <c r="K69" s="1">
        <v>584.9</v>
      </c>
      <c r="L69" s="1">
        <v>6</v>
      </c>
      <c r="M69" s="11">
        <f t="shared" ref="M69:M132" si="3">L69/SUM($L$4:$L$231)</f>
        <v>3.1645569620253164E-3</v>
      </c>
      <c r="N69">
        <f>SUM(L$4:L69)</f>
        <v>1600</v>
      </c>
      <c r="O69" s="12">
        <f>SUM(M$4:M69)</f>
        <v>0.84388185654008363</v>
      </c>
    </row>
    <row r="70" spans="1:15" x14ac:dyDescent="0.25">
      <c r="A70" s="3" t="s">
        <v>103</v>
      </c>
      <c r="B70" s="3" t="s">
        <v>50</v>
      </c>
      <c r="C70" s="3">
        <v>186.69</v>
      </c>
      <c r="D70" s="3">
        <v>1</v>
      </c>
      <c r="E70" s="11">
        <f t="shared" si="2"/>
        <v>1.869158878504673E-3</v>
      </c>
      <c r="F70">
        <f>SUM(D$4:D70)</f>
        <v>492</v>
      </c>
      <c r="G70" s="12">
        <f>SUM(E$4:E70)</f>
        <v>0.91962616822429921</v>
      </c>
      <c r="I70" s="3" t="s">
        <v>103</v>
      </c>
      <c r="J70" s="3" t="s">
        <v>28</v>
      </c>
      <c r="K70" s="3">
        <v>726.33</v>
      </c>
      <c r="L70" s="3">
        <v>6</v>
      </c>
      <c r="M70" s="11">
        <f t="shared" si="3"/>
        <v>3.1645569620253164E-3</v>
      </c>
      <c r="N70">
        <f>SUM(L$4:L70)</f>
        <v>1606</v>
      </c>
      <c r="O70" s="12">
        <f>SUM(M$4:M70)</f>
        <v>0.84704641350210896</v>
      </c>
    </row>
    <row r="71" spans="1:15" x14ac:dyDescent="0.25">
      <c r="A71" s="1" t="s">
        <v>103</v>
      </c>
      <c r="B71" s="1" t="s">
        <v>32</v>
      </c>
      <c r="C71" s="1">
        <v>50.71</v>
      </c>
      <c r="D71" s="1">
        <v>1</v>
      </c>
      <c r="E71" s="11">
        <f t="shared" si="2"/>
        <v>1.869158878504673E-3</v>
      </c>
      <c r="F71">
        <f>SUM(D$4:D71)</f>
        <v>493</v>
      </c>
      <c r="G71" s="12">
        <f>SUM(E$4:E71)</f>
        <v>0.92149532710280391</v>
      </c>
      <c r="I71" s="1" t="s">
        <v>103</v>
      </c>
      <c r="J71" s="1" t="s">
        <v>82</v>
      </c>
      <c r="K71" s="1">
        <v>463.28</v>
      </c>
      <c r="L71" s="1">
        <v>6</v>
      </c>
      <c r="M71" s="11">
        <f t="shared" si="3"/>
        <v>3.1645569620253164E-3</v>
      </c>
      <c r="N71">
        <f>SUM(L$4:L71)</f>
        <v>1612</v>
      </c>
      <c r="O71" s="12">
        <f>SUM(M$4:M71)</f>
        <v>0.8502109704641343</v>
      </c>
    </row>
    <row r="72" spans="1:15" x14ac:dyDescent="0.25">
      <c r="A72" s="3" t="s">
        <v>103</v>
      </c>
      <c r="B72" s="3" t="s">
        <v>68</v>
      </c>
      <c r="C72" s="3">
        <v>100.34</v>
      </c>
      <c r="D72" s="3">
        <v>1</v>
      </c>
      <c r="E72" s="11">
        <f t="shared" si="2"/>
        <v>1.869158878504673E-3</v>
      </c>
      <c r="F72">
        <f>SUM(D$4:D72)</f>
        <v>494</v>
      </c>
      <c r="G72" s="12">
        <f>SUM(E$4:E72)</f>
        <v>0.9233644859813086</v>
      </c>
      <c r="I72" s="3" t="s">
        <v>103</v>
      </c>
      <c r="J72" s="3" t="s">
        <v>129</v>
      </c>
      <c r="K72" s="3">
        <v>497.07</v>
      </c>
      <c r="L72" s="3">
        <v>6</v>
      </c>
      <c r="M72" s="11">
        <f t="shared" si="3"/>
        <v>3.1645569620253164E-3</v>
      </c>
      <c r="N72">
        <f>SUM(L$4:L72)</f>
        <v>1618</v>
      </c>
      <c r="O72" s="12">
        <f>SUM(M$4:M72)</f>
        <v>0.85337552742615963</v>
      </c>
    </row>
    <row r="73" spans="1:15" x14ac:dyDescent="0.25">
      <c r="A73" s="1" t="s">
        <v>103</v>
      </c>
      <c r="B73" s="1" t="s">
        <v>5</v>
      </c>
      <c r="C73" s="1">
        <v>50</v>
      </c>
      <c r="D73" s="1">
        <v>1</v>
      </c>
      <c r="E73" s="11">
        <f t="shared" si="2"/>
        <v>1.869158878504673E-3</v>
      </c>
      <c r="F73">
        <f>SUM(D$4:D73)</f>
        <v>495</v>
      </c>
      <c r="G73" s="12">
        <f>SUM(E$4:E73)</f>
        <v>0.9252336448598133</v>
      </c>
      <c r="I73" s="1" t="s">
        <v>103</v>
      </c>
      <c r="J73" s="1" t="s">
        <v>92</v>
      </c>
      <c r="K73" s="1">
        <v>739.76</v>
      </c>
      <c r="L73" s="1">
        <v>6</v>
      </c>
      <c r="M73" s="11">
        <f t="shared" si="3"/>
        <v>3.1645569620253164E-3</v>
      </c>
      <c r="N73">
        <f>SUM(L$4:L73)</f>
        <v>1624</v>
      </c>
      <c r="O73" s="12">
        <f>SUM(M$4:M73)</f>
        <v>0.85654008438818496</v>
      </c>
    </row>
    <row r="74" spans="1:15" x14ac:dyDescent="0.25">
      <c r="A74" s="3" t="s">
        <v>103</v>
      </c>
      <c r="B74" s="3" t="s">
        <v>99</v>
      </c>
      <c r="C74" s="3">
        <v>80.62</v>
      </c>
      <c r="D74" s="3">
        <v>1</v>
      </c>
      <c r="E74" s="11">
        <f t="shared" si="2"/>
        <v>1.869158878504673E-3</v>
      </c>
      <c r="F74">
        <f>SUM(D$4:D74)</f>
        <v>496</v>
      </c>
      <c r="G74" s="12">
        <f>SUM(E$4:E74)</f>
        <v>0.92710280373831799</v>
      </c>
      <c r="I74" s="3" t="s">
        <v>103</v>
      </c>
      <c r="J74" s="3" t="s">
        <v>130</v>
      </c>
      <c r="K74" s="3">
        <v>713.8</v>
      </c>
      <c r="L74" s="3">
        <v>6</v>
      </c>
      <c r="M74" s="11">
        <f t="shared" si="3"/>
        <v>3.1645569620253164E-3</v>
      </c>
      <c r="N74">
        <f>SUM(L$4:L74)</f>
        <v>1630</v>
      </c>
      <c r="O74" s="12">
        <f>SUM(M$4:M74)</f>
        <v>0.8597046413502103</v>
      </c>
    </row>
    <row r="75" spans="1:15" x14ac:dyDescent="0.25">
      <c r="A75" s="1" t="s">
        <v>103</v>
      </c>
      <c r="B75" s="1" t="s">
        <v>107</v>
      </c>
      <c r="C75" s="1">
        <v>121.47</v>
      </c>
      <c r="D75" s="1">
        <v>1</v>
      </c>
      <c r="E75" s="11">
        <f t="shared" si="2"/>
        <v>1.869158878504673E-3</v>
      </c>
      <c r="F75">
        <f>SUM(D$4:D75)</f>
        <v>497</v>
      </c>
      <c r="G75" s="12">
        <f>SUM(E$4:E75)</f>
        <v>0.92897196261682269</v>
      </c>
      <c r="I75" s="1" t="s">
        <v>103</v>
      </c>
      <c r="J75" s="1" t="s">
        <v>91</v>
      </c>
      <c r="K75" s="1">
        <v>592.33000000000004</v>
      </c>
      <c r="L75" s="1">
        <v>6</v>
      </c>
      <c r="M75" s="11">
        <f t="shared" si="3"/>
        <v>3.1645569620253164E-3</v>
      </c>
      <c r="N75">
        <f>SUM(L$4:L75)</f>
        <v>1636</v>
      </c>
      <c r="O75" s="12">
        <f>SUM(M$4:M75)</f>
        <v>0.86286919831223563</v>
      </c>
    </row>
    <row r="76" spans="1:15" x14ac:dyDescent="0.25">
      <c r="A76" s="3" t="s">
        <v>103</v>
      </c>
      <c r="B76" s="3" t="s">
        <v>110</v>
      </c>
      <c r="C76" s="3">
        <v>186.69</v>
      </c>
      <c r="D76" s="3">
        <v>1</v>
      </c>
      <c r="E76" s="11">
        <f t="shared" si="2"/>
        <v>1.869158878504673E-3</v>
      </c>
      <c r="F76">
        <f>SUM(D$4:D76)</f>
        <v>498</v>
      </c>
      <c r="G76" s="12">
        <f>SUM(E$4:E76)</f>
        <v>0.93084112149532738</v>
      </c>
      <c r="I76" s="3">
        <v>73</v>
      </c>
      <c r="J76" s="3" t="s">
        <v>115</v>
      </c>
      <c r="K76" s="3">
        <v>767.04</v>
      </c>
      <c r="L76" s="3">
        <v>5</v>
      </c>
      <c r="M76" s="11">
        <f t="shared" si="3"/>
        <v>2.6371308016877636E-3</v>
      </c>
      <c r="N76">
        <f>SUM(L$4:L76)</f>
        <v>1641</v>
      </c>
      <c r="O76" s="12">
        <f>SUM(M$4:M76)</f>
        <v>0.86550632911392344</v>
      </c>
    </row>
    <row r="77" spans="1:15" x14ac:dyDescent="0.25">
      <c r="A77" s="1" t="s">
        <v>103</v>
      </c>
      <c r="B77" s="1" t="s">
        <v>102</v>
      </c>
      <c r="C77" s="1">
        <v>121.47</v>
      </c>
      <c r="D77" s="1">
        <v>1</v>
      </c>
      <c r="E77" s="11">
        <f t="shared" si="2"/>
        <v>1.869158878504673E-3</v>
      </c>
      <c r="F77">
        <f>SUM(D$4:D77)</f>
        <v>499</v>
      </c>
      <c r="G77" s="12">
        <f>SUM(E$4:E77)</f>
        <v>0.93271028037383208</v>
      </c>
      <c r="I77" s="1" t="s">
        <v>103</v>
      </c>
      <c r="J77" s="1" t="s">
        <v>72</v>
      </c>
      <c r="K77" s="1">
        <v>517.80999999999995</v>
      </c>
      <c r="L77" s="1">
        <v>5</v>
      </c>
      <c r="M77" s="11">
        <f t="shared" si="3"/>
        <v>2.6371308016877636E-3</v>
      </c>
      <c r="N77">
        <f>SUM(L$4:L77)</f>
        <v>1646</v>
      </c>
      <c r="O77" s="12">
        <f>SUM(M$4:M77)</f>
        <v>0.86814345991561126</v>
      </c>
    </row>
    <row r="78" spans="1:15" x14ac:dyDescent="0.25">
      <c r="A78" s="3" t="s">
        <v>103</v>
      </c>
      <c r="B78" s="3" t="s">
        <v>33</v>
      </c>
      <c r="C78" s="3">
        <v>242.95</v>
      </c>
      <c r="D78" s="3">
        <v>1</v>
      </c>
      <c r="E78" s="11">
        <f t="shared" si="2"/>
        <v>1.869158878504673E-3</v>
      </c>
      <c r="F78">
        <f>SUM(D$4:D78)</f>
        <v>500</v>
      </c>
      <c r="G78" s="12">
        <f>SUM(E$4:E78)</f>
        <v>0.93457943925233677</v>
      </c>
      <c r="I78" s="3" t="s">
        <v>103</v>
      </c>
      <c r="J78" s="3" t="s">
        <v>131</v>
      </c>
      <c r="K78" s="3">
        <v>301.7</v>
      </c>
      <c r="L78" s="3">
        <v>5</v>
      </c>
      <c r="M78" s="11">
        <f t="shared" si="3"/>
        <v>2.6371308016877636E-3</v>
      </c>
      <c r="N78">
        <f>SUM(L$4:L78)</f>
        <v>1651</v>
      </c>
      <c r="O78" s="12">
        <f>SUM(M$4:M78)</f>
        <v>0.87078059071729907</v>
      </c>
    </row>
    <row r="79" spans="1:15" x14ac:dyDescent="0.25">
      <c r="A79" s="1" t="s">
        <v>103</v>
      </c>
      <c r="B79" s="1" t="s">
        <v>30</v>
      </c>
      <c r="C79" s="1">
        <v>50.91</v>
      </c>
      <c r="D79" s="1">
        <v>1</v>
      </c>
      <c r="E79" s="11">
        <f t="shared" si="2"/>
        <v>1.869158878504673E-3</v>
      </c>
      <c r="F79">
        <f>SUM(D$4:D79)</f>
        <v>501</v>
      </c>
      <c r="G79" s="12">
        <f>SUM(E$4:E79)</f>
        <v>0.93644859813084147</v>
      </c>
      <c r="I79" s="1" t="s">
        <v>103</v>
      </c>
      <c r="J79" s="1" t="s">
        <v>13</v>
      </c>
      <c r="K79" s="1">
        <v>316.76</v>
      </c>
      <c r="L79" s="1">
        <v>5</v>
      </c>
      <c r="M79" s="11">
        <f t="shared" si="3"/>
        <v>2.6371308016877636E-3</v>
      </c>
      <c r="N79">
        <f>SUM(L$4:L79)</f>
        <v>1656</v>
      </c>
      <c r="O79" s="12">
        <f>SUM(M$4:M79)</f>
        <v>0.87341772151898689</v>
      </c>
    </row>
    <row r="80" spans="1:15" x14ac:dyDescent="0.25">
      <c r="A80" s="3" t="s">
        <v>103</v>
      </c>
      <c r="B80" s="3" t="s">
        <v>11</v>
      </c>
      <c r="C80" s="3">
        <v>121.47</v>
      </c>
      <c r="D80" s="3">
        <v>1</v>
      </c>
      <c r="E80" s="11">
        <f t="shared" si="2"/>
        <v>1.869158878504673E-3</v>
      </c>
      <c r="F80">
        <f>SUM(D$4:D80)</f>
        <v>502</v>
      </c>
      <c r="G80" s="12">
        <f>SUM(E$4:E80)</f>
        <v>0.93831775700934617</v>
      </c>
      <c r="I80" s="3" t="s">
        <v>103</v>
      </c>
      <c r="J80" s="3" t="s">
        <v>132</v>
      </c>
      <c r="K80" s="3">
        <v>300.56</v>
      </c>
      <c r="L80" s="3">
        <v>5</v>
      </c>
      <c r="M80" s="11">
        <f t="shared" si="3"/>
        <v>2.6371308016877636E-3</v>
      </c>
      <c r="N80">
        <f>SUM(L$4:L80)</f>
        <v>1661</v>
      </c>
      <c r="O80" s="12">
        <f>SUM(M$4:M80)</f>
        <v>0.8760548523206747</v>
      </c>
    </row>
    <row r="81" spans="1:15" x14ac:dyDescent="0.25">
      <c r="A81" s="1" t="s">
        <v>103</v>
      </c>
      <c r="B81" s="1" t="s">
        <v>9</v>
      </c>
      <c r="C81" s="1">
        <v>58.45</v>
      </c>
      <c r="D81" s="1">
        <v>1</v>
      </c>
      <c r="E81" s="11">
        <f t="shared" si="2"/>
        <v>1.869158878504673E-3</v>
      </c>
      <c r="F81">
        <f>SUM(D$4:D81)</f>
        <v>503</v>
      </c>
      <c r="G81" s="12">
        <f>SUM(E$4:E81)</f>
        <v>0.94018691588785086</v>
      </c>
      <c r="I81" s="1" t="s">
        <v>103</v>
      </c>
      <c r="J81" s="1" t="s">
        <v>22</v>
      </c>
      <c r="K81" s="1">
        <v>448.43</v>
      </c>
      <c r="L81" s="1">
        <v>5</v>
      </c>
      <c r="M81" s="11">
        <f t="shared" si="3"/>
        <v>2.6371308016877636E-3</v>
      </c>
      <c r="N81">
        <f>SUM(L$4:L81)</f>
        <v>1666</v>
      </c>
      <c r="O81" s="12">
        <f>SUM(M$4:M81)</f>
        <v>0.87869198312236252</v>
      </c>
    </row>
    <row r="82" spans="1:15" x14ac:dyDescent="0.25">
      <c r="A82" s="3" t="s">
        <v>103</v>
      </c>
      <c r="B82" s="3" t="s">
        <v>75</v>
      </c>
      <c r="C82" s="3">
        <v>50.1</v>
      </c>
      <c r="D82" s="3">
        <v>1</v>
      </c>
      <c r="E82" s="11">
        <f t="shared" si="2"/>
        <v>1.869158878504673E-3</v>
      </c>
      <c r="F82">
        <f>SUM(D$4:D82)</f>
        <v>504</v>
      </c>
      <c r="G82" s="12">
        <f>SUM(E$4:E82)</f>
        <v>0.94205607476635556</v>
      </c>
      <c r="I82" s="3" t="s">
        <v>103</v>
      </c>
      <c r="J82" s="3" t="s">
        <v>133</v>
      </c>
      <c r="K82" s="3">
        <v>381.28</v>
      </c>
      <c r="L82" s="3">
        <v>5</v>
      </c>
      <c r="M82" s="11">
        <f t="shared" si="3"/>
        <v>2.6371308016877636E-3</v>
      </c>
      <c r="N82">
        <f>SUM(L$4:L82)</f>
        <v>1671</v>
      </c>
      <c r="O82" s="12">
        <f>SUM(M$4:M82)</f>
        <v>0.88132911392405033</v>
      </c>
    </row>
    <row r="83" spans="1:15" x14ac:dyDescent="0.25">
      <c r="A83" s="1" t="s">
        <v>103</v>
      </c>
      <c r="B83" s="1" t="s">
        <v>51</v>
      </c>
      <c r="C83" s="1">
        <v>16.309999999999999</v>
      </c>
      <c r="D83" s="1">
        <v>1</v>
      </c>
      <c r="E83" s="11">
        <f t="shared" si="2"/>
        <v>1.869158878504673E-3</v>
      </c>
      <c r="F83">
        <f>SUM(D$4:D83)</f>
        <v>505</v>
      </c>
      <c r="G83" s="12">
        <f>SUM(E$4:E83)</f>
        <v>0.94392523364486025</v>
      </c>
      <c r="I83" s="1" t="s">
        <v>103</v>
      </c>
      <c r="J83" s="1" t="s">
        <v>50</v>
      </c>
      <c r="K83" s="1">
        <v>505.48</v>
      </c>
      <c r="L83" s="1">
        <v>5</v>
      </c>
      <c r="M83" s="11">
        <f t="shared" si="3"/>
        <v>2.6371308016877636E-3</v>
      </c>
      <c r="N83">
        <f>SUM(L$4:L83)</f>
        <v>1676</v>
      </c>
      <c r="O83" s="12">
        <f>SUM(M$4:M83)</f>
        <v>0.88396624472573815</v>
      </c>
    </row>
    <row r="84" spans="1:15" x14ac:dyDescent="0.25">
      <c r="A84" s="3" t="s">
        <v>103</v>
      </c>
      <c r="B84" s="3" t="s">
        <v>98</v>
      </c>
      <c r="C84" s="3">
        <v>18.89</v>
      </c>
      <c r="D84" s="3">
        <v>1</v>
      </c>
      <c r="E84" s="11">
        <f t="shared" si="2"/>
        <v>1.869158878504673E-3</v>
      </c>
      <c r="F84">
        <f>SUM(D$4:D84)</f>
        <v>506</v>
      </c>
      <c r="G84" s="12">
        <f>SUM(E$4:E84)</f>
        <v>0.94579439252336495</v>
      </c>
      <c r="I84" s="3">
        <v>81</v>
      </c>
      <c r="J84" s="3" t="s">
        <v>134</v>
      </c>
      <c r="K84" s="3">
        <v>217.82</v>
      </c>
      <c r="L84" s="3">
        <v>4</v>
      </c>
      <c r="M84" s="11">
        <f t="shared" si="3"/>
        <v>2.1097046413502108E-3</v>
      </c>
      <c r="N84">
        <f>SUM(L$4:L84)</f>
        <v>1680</v>
      </c>
      <c r="O84" s="12">
        <f>SUM(M$4:M84)</f>
        <v>0.88607594936708833</v>
      </c>
    </row>
    <row r="85" spans="1:15" x14ac:dyDescent="0.25">
      <c r="A85" s="1" t="s">
        <v>103</v>
      </c>
      <c r="B85" s="1" t="s">
        <v>80</v>
      </c>
      <c r="C85" s="1">
        <v>16.309999999999999</v>
      </c>
      <c r="D85" s="1">
        <v>1</v>
      </c>
      <c r="E85" s="11">
        <f t="shared" si="2"/>
        <v>1.869158878504673E-3</v>
      </c>
      <c r="F85">
        <f>SUM(D$4:D85)</f>
        <v>507</v>
      </c>
      <c r="G85" s="12">
        <f>SUM(E$4:E85)</f>
        <v>0.94766355140186964</v>
      </c>
      <c r="I85" s="1" t="s">
        <v>103</v>
      </c>
      <c r="J85" s="1" t="s">
        <v>93</v>
      </c>
      <c r="K85" s="1">
        <v>371.57</v>
      </c>
      <c r="L85" s="1">
        <v>4</v>
      </c>
      <c r="M85" s="11">
        <f t="shared" si="3"/>
        <v>2.1097046413502108E-3</v>
      </c>
      <c r="N85">
        <f>SUM(L$4:L85)</f>
        <v>1684</v>
      </c>
      <c r="O85" s="12">
        <f>SUM(M$4:M85)</f>
        <v>0.88818565400843852</v>
      </c>
    </row>
    <row r="86" spans="1:15" x14ac:dyDescent="0.25">
      <c r="A86" s="3" t="s">
        <v>103</v>
      </c>
      <c r="B86" s="3" t="s">
        <v>7</v>
      </c>
      <c r="C86" s="3">
        <v>43.6</v>
      </c>
      <c r="D86" s="3">
        <v>1</v>
      </c>
      <c r="E86" s="11">
        <f t="shared" si="2"/>
        <v>1.869158878504673E-3</v>
      </c>
      <c r="F86">
        <f>SUM(D$4:D86)</f>
        <v>508</v>
      </c>
      <c r="G86" s="12">
        <f>SUM(E$4:E86)</f>
        <v>0.94953271028037434</v>
      </c>
      <c r="I86" s="3" t="s">
        <v>103</v>
      </c>
      <c r="J86" s="3" t="s">
        <v>111</v>
      </c>
      <c r="K86" s="3">
        <v>467.41</v>
      </c>
      <c r="L86" s="3">
        <v>4</v>
      </c>
      <c r="M86" s="11">
        <f t="shared" si="3"/>
        <v>2.1097046413502108E-3</v>
      </c>
      <c r="N86">
        <f>SUM(L$4:L86)</f>
        <v>1688</v>
      </c>
      <c r="O86" s="12">
        <f>SUM(M$4:M86)</f>
        <v>0.8902953586497887</v>
      </c>
    </row>
    <row r="87" spans="1:15" x14ac:dyDescent="0.25">
      <c r="A87" s="1" t="s">
        <v>103</v>
      </c>
      <c r="B87" s="1" t="s">
        <v>29</v>
      </c>
      <c r="C87" s="1">
        <v>121.47</v>
      </c>
      <c r="D87" s="1">
        <v>1</v>
      </c>
      <c r="E87" s="11">
        <f t="shared" si="2"/>
        <v>1.869158878504673E-3</v>
      </c>
      <c r="F87">
        <f>SUM(D$4:D87)</f>
        <v>509</v>
      </c>
      <c r="G87" s="12">
        <f>SUM(E$4:E87)</f>
        <v>0.95140186915887903</v>
      </c>
      <c r="I87" s="1" t="s">
        <v>103</v>
      </c>
      <c r="J87" s="1" t="s">
        <v>135</v>
      </c>
      <c r="K87" s="1">
        <v>436.6</v>
      </c>
      <c r="L87" s="1">
        <v>4</v>
      </c>
      <c r="M87" s="11">
        <f t="shared" si="3"/>
        <v>2.1097046413502108E-3</v>
      </c>
      <c r="N87">
        <f>SUM(L$4:L87)</f>
        <v>1692</v>
      </c>
      <c r="O87" s="12">
        <f>SUM(M$4:M87)</f>
        <v>0.89240506329113889</v>
      </c>
    </row>
    <row r="88" spans="1:15" x14ac:dyDescent="0.25">
      <c r="A88" s="3" t="s">
        <v>103</v>
      </c>
      <c r="B88" s="3" t="s">
        <v>26</v>
      </c>
      <c r="C88" s="3">
        <v>121.47</v>
      </c>
      <c r="D88" s="3">
        <v>1</v>
      </c>
      <c r="E88" s="11">
        <f t="shared" si="2"/>
        <v>1.869158878504673E-3</v>
      </c>
      <c r="F88">
        <f>SUM(D$4:D88)</f>
        <v>510</v>
      </c>
      <c r="G88" s="12">
        <f>SUM(E$4:E88)</f>
        <v>0.95327102803738373</v>
      </c>
      <c r="I88" s="3" t="s">
        <v>103</v>
      </c>
      <c r="J88" s="3" t="s">
        <v>136</v>
      </c>
      <c r="K88" s="3">
        <v>182.95</v>
      </c>
      <c r="L88" s="3">
        <v>4</v>
      </c>
      <c r="M88" s="11">
        <f t="shared" si="3"/>
        <v>2.1097046413502108E-3</v>
      </c>
      <c r="N88">
        <f>SUM(L$4:L88)</f>
        <v>1696</v>
      </c>
      <c r="O88" s="12">
        <f>SUM(M$4:M88)</f>
        <v>0.89451476793248907</v>
      </c>
    </row>
    <row r="89" spans="1:15" x14ac:dyDescent="0.25">
      <c r="A89" s="1" t="s">
        <v>103</v>
      </c>
      <c r="B89" s="1" t="s">
        <v>70</v>
      </c>
      <c r="C89" s="1">
        <v>70.91</v>
      </c>
      <c r="D89" s="1">
        <v>1</v>
      </c>
      <c r="E89" s="11">
        <f t="shared" si="2"/>
        <v>1.869158878504673E-3</v>
      </c>
      <c r="F89">
        <f>SUM(D$4:D89)</f>
        <v>511</v>
      </c>
      <c r="G89" s="12">
        <f>SUM(E$4:E89)</f>
        <v>0.95514018691588842</v>
      </c>
      <c r="I89" s="1" t="s">
        <v>103</v>
      </c>
      <c r="J89" s="1" t="s">
        <v>137</v>
      </c>
      <c r="K89" s="1">
        <v>110.57</v>
      </c>
      <c r="L89" s="1">
        <v>4</v>
      </c>
      <c r="M89" s="11">
        <f t="shared" si="3"/>
        <v>2.1097046413502108E-3</v>
      </c>
      <c r="N89">
        <f>SUM(L$4:L89)</f>
        <v>1700</v>
      </c>
      <c r="O89" s="12">
        <f>SUM(M$4:M89)</f>
        <v>0.89662447257383926</v>
      </c>
    </row>
    <row r="90" spans="1:15" x14ac:dyDescent="0.25">
      <c r="A90" s="3" t="s">
        <v>103</v>
      </c>
      <c r="B90" s="3" t="s">
        <v>89</v>
      </c>
      <c r="C90" s="3">
        <v>26.88</v>
      </c>
      <c r="D90" s="3">
        <v>1</v>
      </c>
      <c r="E90" s="11">
        <f t="shared" si="2"/>
        <v>1.869158878504673E-3</v>
      </c>
      <c r="F90">
        <f>SUM(D$4:D90)</f>
        <v>512</v>
      </c>
      <c r="G90" s="12">
        <f>SUM(E$4:E90)</f>
        <v>0.95700934579439312</v>
      </c>
      <c r="I90" s="3" t="s">
        <v>103</v>
      </c>
      <c r="J90" s="3" t="s">
        <v>32</v>
      </c>
      <c r="K90" s="3">
        <v>210.14</v>
      </c>
      <c r="L90" s="3">
        <v>4</v>
      </c>
      <c r="M90" s="11">
        <f t="shared" si="3"/>
        <v>2.1097046413502108E-3</v>
      </c>
      <c r="N90">
        <f>SUM(L$4:L90)</f>
        <v>1704</v>
      </c>
      <c r="O90" s="12">
        <f>SUM(M$4:M90)</f>
        <v>0.89873417721518944</v>
      </c>
    </row>
    <row r="91" spans="1:15" x14ac:dyDescent="0.25">
      <c r="A91" s="1" t="s">
        <v>103</v>
      </c>
      <c r="B91" s="1" t="s">
        <v>39</v>
      </c>
      <c r="C91" s="1">
        <v>50.1</v>
      </c>
      <c r="D91" s="1">
        <v>1</v>
      </c>
      <c r="E91" s="11">
        <f t="shared" si="2"/>
        <v>1.869158878504673E-3</v>
      </c>
      <c r="F91">
        <f>SUM(D$4:D91)</f>
        <v>513</v>
      </c>
      <c r="G91" s="12">
        <f>SUM(E$4:E91)</f>
        <v>0.95887850467289781</v>
      </c>
      <c r="I91" s="1" t="s">
        <v>103</v>
      </c>
      <c r="J91" s="1" t="s">
        <v>0</v>
      </c>
      <c r="K91" s="1">
        <v>225.82</v>
      </c>
      <c r="L91" s="1">
        <v>4</v>
      </c>
      <c r="M91" s="11">
        <f t="shared" si="3"/>
        <v>2.1097046413502108E-3</v>
      </c>
      <c r="N91">
        <f>SUM(L$4:L91)</f>
        <v>1708</v>
      </c>
      <c r="O91" s="12">
        <f>SUM(M$4:M91)</f>
        <v>0.90084388185653963</v>
      </c>
    </row>
    <row r="92" spans="1:15" x14ac:dyDescent="0.25">
      <c r="A92" s="3" t="s">
        <v>103</v>
      </c>
      <c r="B92" s="3" t="s">
        <v>52</v>
      </c>
      <c r="C92" s="3">
        <v>134.02000000000001</v>
      </c>
      <c r="D92" s="3">
        <v>1</v>
      </c>
      <c r="E92" s="11">
        <f t="shared" si="2"/>
        <v>1.869158878504673E-3</v>
      </c>
      <c r="F92">
        <f>SUM(D$4:D92)</f>
        <v>514</v>
      </c>
      <c r="G92" s="12">
        <f>SUM(E$4:E92)</f>
        <v>0.96074766355140251</v>
      </c>
      <c r="I92" s="3">
        <v>89</v>
      </c>
      <c r="J92" s="3" t="s">
        <v>108</v>
      </c>
      <c r="K92" s="3">
        <v>171.5</v>
      </c>
      <c r="L92" s="3">
        <v>3</v>
      </c>
      <c r="M92" s="11">
        <f t="shared" si="3"/>
        <v>1.5822784810126582E-3</v>
      </c>
      <c r="N92">
        <f>SUM(L$4:L92)</f>
        <v>1711</v>
      </c>
      <c r="O92" s="12">
        <f>SUM(M$4:M92)</f>
        <v>0.9024261603375523</v>
      </c>
    </row>
    <row r="93" spans="1:15" x14ac:dyDescent="0.25">
      <c r="A93" s="1" t="s">
        <v>103</v>
      </c>
      <c r="B93" s="1" t="s">
        <v>25</v>
      </c>
      <c r="C93" s="1">
        <v>61.03</v>
      </c>
      <c r="D93" s="1">
        <v>1</v>
      </c>
      <c r="E93" s="11">
        <f t="shared" si="2"/>
        <v>1.869158878504673E-3</v>
      </c>
      <c r="F93">
        <f>SUM(D$4:D93)</f>
        <v>515</v>
      </c>
      <c r="G93" s="12">
        <f>SUM(E$4:E93)</f>
        <v>0.9626168224299072</v>
      </c>
      <c r="I93" s="1" t="s">
        <v>103</v>
      </c>
      <c r="J93" s="1" t="s">
        <v>83</v>
      </c>
      <c r="K93" s="1">
        <v>279.91000000000003</v>
      </c>
      <c r="L93" s="1">
        <v>3</v>
      </c>
      <c r="M93" s="11">
        <f t="shared" si="3"/>
        <v>1.5822784810126582E-3</v>
      </c>
      <c r="N93">
        <f>SUM(L$4:L93)</f>
        <v>1714</v>
      </c>
      <c r="O93" s="12">
        <f>SUM(M$4:M93)</f>
        <v>0.90400843881856496</v>
      </c>
    </row>
    <row r="94" spans="1:15" x14ac:dyDescent="0.25">
      <c r="A94" s="3" t="s">
        <v>103</v>
      </c>
      <c r="B94" s="3" t="s">
        <v>54</v>
      </c>
      <c r="C94" s="3">
        <v>27.69</v>
      </c>
      <c r="D94" s="3">
        <v>1</v>
      </c>
      <c r="E94" s="11">
        <f t="shared" si="2"/>
        <v>1.869158878504673E-3</v>
      </c>
      <c r="F94">
        <f>SUM(D$4:D94)</f>
        <v>516</v>
      </c>
      <c r="G94" s="12">
        <f>SUM(E$4:E94)</f>
        <v>0.9644859813084119</v>
      </c>
      <c r="I94" s="3" t="s">
        <v>103</v>
      </c>
      <c r="J94" s="3" t="s">
        <v>138</v>
      </c>
      <c r="K94" s="3">
        <v>234.08</v>
      </c>
      <c r="L94" s="3">
        <v>3</v>
      </c>
      <c r="M94" s="11">
        <f t="shared" si="3"/>
        <v>1.5822784810126582E-3</v>
      </c>
      <c r="N94">
        <f>SUM(L$4:L94)</f>
        <v>1717</v>
      </c>
      <c r="O94" s="12">
        <f>SUM(M$4:M94)</f>
        <v>0.90559071729957763</v>
      </c>
    </row>
    <row r="95" spans="1:15" x14ac:dyDescent="0.25">
      <c r="A95" s="1" t="s">
        <v>103</v>
      </c>
      <c r="B95" s="1" t="s">
        <v>19</v>
      </c>
      <c r="C95" s="1">
        <v>66.08</v>
      </c>
      <c r="D95" s="1">
        <v>1</v>
      </c>
      <c r="E95" s="11">
        <f t="shared" si="2"/>
        <v>1.869158878504673E-3</v>
      </c>
      <c r="F95">
        <f>SUM(D$4:D95)</f>
        <v>517</v>
      </c>
      <c r="G95" s="12">
        <f>SUM(E$4:E95)</f>
        <v>0.96635514018691659</v>
      </c>
      <c r="I95" s="1" t="s">
        <v>103</v>
      </c>
      <c r="J95" s="1" t="s">
        <v>43</v>
      </c>
      <c r="K95" s="1">
        <v>253.34</v>
      </c>
      <c r="L95" s="1">
        <v>3</v>
      </c>
      <c r="M95" s="11">
        <f t="shared" si="3"/>
        <v>1.5822784810126582E-3</v>
      </c>
      <c r="N95">
        <f>SUM(L$4:L95)</f>
        <v>1720</v>
      </c>
      <c r="O95" s="12">
        <f>SUM(M$4:M95)</f>
        <v>0.9071729957805903</v>
      </c>
    </row>
    <row r="96" spans="1:15" x14ac:dyDescent="0.25">
      <c r="A96" s="3" t="s">
        <v>103</v>
      </c>
      <c r="B96" s="3" t="s">
        <v>65</v>
      </c>
      <c r="C96" s="3">
        <v>121.47</v>
      </c>
      <c r="D96" s="3">
        <v>1</v>
      </c>
      <c r="E96" s="11">
        <f t="shared" si="2"/>
        <v>1.869158878504673E-3</v>
      </c>
      <c r="F96">
        <f>SUM(D$4:D96)</f>
        <v>518</v>
      </c>
      <c r="G96" s="12">
        <f>SUM(E$4:E96)</f>
        <v>0.96822429906542129</v>
      </c>
      <c r="I96" s="3" t="s">
        <v>103</v>
      </c>
      <c r="J96" s="3" t="s">
        <v>139</v>
      </c>
      <c r="K96" s="3">
        <v>546.53</v>
      </c>
      <c r="L96" s="3">
        <v>3</v>
      </c>
      <c r="M96" s="11">
        <f t="shared" si="3"/>
        <v>1.5822784810126582E-3</v>
      </c>
      <c r="N96">
        <f>SUM(L$4:L96)</f>
        <v>1723</v>
      </c>
      <c r="O96" s="12">
        <f>SUM(M$4:M96)</f>
        <v>0.90875527426160296</v>
      </c>
    </row>
    <row r="97" spans="1:15" x14ac:dyDescent="0.25">
      <c r="A97" s="1" t="s">
        <v>103</v>
      </c>
      <c r="B97" s="1" t="s">
        <v>8</v>
      </c>
      <c r="C97" s="1">
        <v>121.47</v>
      </c>
      <c r="D97" s="1">
        <v>1</v>
      </c>
      <c r="E97" s="11">
        <f t="shared" si="2"/>
        <v>1.869158878504673E-3</v>
      </c>
      <c r="F97">
        <f>SUM(D$4:D97)</f>
        <v>519</v>
      </c>
      <c r="G97" s="12">
        <f>SUM(E$4:E97)</f>
        <v>0.97009345794392599</v>
      </c>
      <c r="I97" s="1" t="s">
        <v>103</v>
      </c>
      <c r="J97" s="1" t="s">
        <v>140</v>
      </c>
      <c r="K97" s="1">
        <v>69.349999999999994</v>
      </c>
      <c r="L97" s="1">
        <v>3</v>
      </c>
      <c r="M97" s="11">
        <f t="shared" si="3"/>
        <v>1.5822784810126582E-3</v>
      </c>
      <c r="N97">
        <f>SUM(L$4:L97)</f>
        <v>1726</v>
      </c>
      <c r="O97" s="12">
        <f>SUM(M$4:M97)</f>
        <v>0.91033755274261563</v>
      </c>
    </row>
    <row r="98" spans="1:15" x14ac:dyDescent="0.25">
      <c r="A98" s="3" t="s">
        <v>103</v>
      </c>
      <c r="B98" s="3" t="s">
        <v>92</v>
      </c>
      <c r="C98" s="3">
        <v>50</v>
      </c>
      <c r="D98" s="3">
        <v>1</v>
      </c>
      <c r="E98" s="11">
        <f t="shared" si="2"/>
        <v>1.869158878504673E-3</v>
      </c>
      <c r="F98">
        <f>SUM(D$4:D98)</f>
        <v>520</v>
      </c>
      <c r="G98" s="12">
        <f>SUM(E$4:E98)</f>
        <v>0.97196261682243068</v>
      </c>
      <c r="I98" s="3" t="s">
        <v>103</v>
      </c>
      <c r="J98" s="3" t="s">
        <v>7</v>
      </c>
      <c r="K98" s="3">
        <v>188.28</v>
      </c>
      <c r="L98" s="3">
        <v>3</v>
      </c>
      <c r="M98" s="11">
        <f t="shared" si="3"/>
        <v>1.5822784810126582E-3</v>
      </c>
      <c r="N98">
        <f>SUM(L$4:L98)</f>
        <v>1729</v>
      </c>
      <c r="O98" s="12">
        <f>SUM(M$4:M98)</f>
        <v>0.9119198312236283</v>
      </c>
    </row>
    <row r="99" spans="1:15" x14ac:dyDescent="0.25">
      <c r="A99" s="1" t="s">
        <v>103</v>
      </c>
      <c r="B99" s="1" t="s">
        <v>96</v>
      </c>
      <c r="C99" s="1">
        <v>142.85</v>
      </c>
      <c r="D99" s="1">
        <v>1</v>
      </c>
      <c r="E99" s="11">
        <f t="shared" si="2"/>
        <v>1.869158878504673E-3</v>
      </c>
      <c r="F99">
        <f>SUM(D$4:D99)</f>
        <v>521</v>
      </c>
      <c r="G99" s="12">
        <f>SUM(E$4:E99)</f>
        <v>0.97383177570093538</v>
      </c>
      <c r="I99" s="1" t="s">
        <v>103</v>
      </c>
      <c r="J99" s="1" t="s">
        <v>141</v>
      </c>
      <c r="K99" s="1">
        <v>9.89</v>
      </c>
      <c r="L99" s="1">
        <v>3</v>
      </c>
      <c r="M99" s="11">
        <f t="shared" si="3"/>
        <v>1.5822784810126582E-3</v>
      </c>
      <c r="N99">
        <f>SUM(L$4:L99)</f>
        <v>1732</v>
      </c>
      <c r="O99" s="12">
        <f>SUM(M$4:M99)</f>
        <v>0.91350210970464096</v>
      </c>
    </row>
    <row r="100" spans="1:15" x14ac:dyDescent="0.25">
      <c r="A100" s="3" t="s">
        <v>103</v>
      </c>
      <c r="B100" s="3" t="s">
        <v>88</v>
      </c>
      <c r="C100" s="3">
        <v>307.33999999999997</v>
      </c>
      <c r="D100" s="3">
        <v>1</v>
      </c>
      <c r="E100" s="11">
        <f t="shared" si="2"/>
        <v>1.869158878504673E-3</v>
      </c>
      <c r="F100">
        <f>SUM(D$4:D100)</f>
        <v>522</v>
      </c>
      <c r="G100" s="12">
        <f>SUM(E$4:E100)</f>
        <v>0.97570093457944007</v>
      </c>
      <c r="I100" s="3">
        <v>97</v>
      </c>
      <c r="J100" s="3" t="s">
        <v>75</v>
      </c>
      <c r="K100" s="3">
        <v>77.069999999999993</v>
      </c>
      <c r="L100" s="3">
        <v>2</v>
      </c>
      <c r="M100" s="11">
        <f t="shared" si="3"/>
        <v>1.0548523206751054E-3</v>
      </c>
      <c r="N100">
        <f>SUM(L$4:L100)</f>
        <v>1734</v>
      </c>
      <c r="O100" s="12">
        <f>SUM(M$4:M100)</f>
        <v>0.91455696202531611</v>
      </c>
    </row>
    <row r="101" spans="1:15" x14ac:dyDescent="0.25">
      <c r="A101" s="1" t="s">
        <v>103</v>
      </c>
      <c r="B101" s="1" t="s">
        <v>95</v>
      </c>
      <c r="C101" s="1">
        <v>85</v>
      </c>
      <c r="D101" s="1">
        <v>1</v>
      </c>
      <c r="E101" s="11">
        <f t="shared" si="2"/>
        <v>1.869158878504673E-3</v>
      </c>
      <c r="F101">
        <f>SUM(D$4:D101)</f>
        <v>523</v>
      </c>
      <c r="G101" s="12">
        <f>SUM(E$4:E101)</f>
        <v>0.97757009345794477</v>
      </c>
      <c r="I101" s="1" t="s">
        <v>103</v>
      </c>
      <c r="J101" s="1" t="s">
        <v>23</v>
      </c>
      <c r="K101" s="1">
        <v>140.36000000000001</v>
      </c>
      <c r="L101" s="1">
        <v>2</v>
      </c>
      <c r="M101" s="11">
        <f t="shared" si="3"/>
        <v>1.0548523206751054E-3</v>
      </c>
      <c r="N101">
        <f>SUM(L$4:L101)</f>
        <v>1736</v>
      </c>
      <c r="O101" s="12">
        <f>SUM(M$4:M101)</f>
        <v>0.91561181434599126</v>
      </c>
    </row>
    <row r="102" spans="1:15" x14ac:dyDescent="0.25">
      <c r="A102" s="3" t="s">
        <v>103</v>
      </c>
      <c r="B102" s="3" t="s">
        <v>0</v>
      </c>
      <c r="C102" s="3">
        <v>100.33</v>
      </c>
      <c r="D102" s="3">
        <v>1</v>
      </c>
      <c r="E102" s="11">
        <f t="shared" si="2"/>
        <v>1.869158878504673E-3</v>
      </c>
      <c r="F102">
        <f>SUM(D$4:D102)</f>
        <v>524</v>
      </c>
      <c r="G102" s="12">
        <f>SUM(E$4:E102)</f>
        <v>0.97943925233644946</v>
      </c>
      <c r="I102" s="3" t="s">
        <v>103</v>
      </c>
      <c r="J102" s="3" t="s">
        <v>142</v>
      </c>
      <c r="K102" s="3">
        <v>204.82</v>
      </c>
      <c r="L102" s="3">
        <v>2</v>
      </c>
      <c r="M102" s="11">
        <f t="shared" si="3"/>
        <v>1.0548523206751054E-3</v>
      </c>
      <c r="N102">
        <f>SUM(L$4:L102)</f>
        <v>1738</v>
      </c>
      <c r="O102" s="12">
        <f>SUM(M$4:M102)</f>
        <v>0.91666666666666641</v>
      </c>
    </row>
    <row r="103" spans="1:15" x14ac:dyDescent="0.25">
      <c r="A103" s="1" t="s">
        <v>103</v>
      </c>
      <c r="B103" s="1" t="s">
        <v>58</v>
      </c>
      <c r="C103" s="1">
        <v>50.91</v>
      </c>
      <c r="D103" s="1">
        <v>1</v>
      </c>
      <c r="E103" s="11">
        <f t="shared" si="2"/>
        <v>1.869158878504673E-3</v>
      </c>
      <c r="F103">
        <f>SUM(D$4:D103)</f>
        <v>525</v>
      </c>
      <c r="G103" s="12">
        <f>SUM(E$4:E103)</f>
        <v>0.98130841121495416</v>
      </c>
      <c r="I103" s="1" t="s">
        <v>103</v>
      </c>
      <c r="J103" s="1" t="s">
        <v>143</v>
      </c>
      <c r="K103" s="1">
        <v>41</v>
      </c>
      <c r="L103" s="1">
        <v>2</v>
      </c>
      <c r="M103" s="11">
        <f t="shared" si="3"/>
        <v>1.0548523206751054E-3</v>
      </c>
      <c r="N103">
        <f>SUM(L$4:L103)</f>
        <v>1740</v>
      </c>
      <c r="O103" s="12">
        <f>SUM(M$4:M103)</f>
        <v>0.91772151898734156</v>
      </c>
    </row>
    <row r="104" spans="1:15" x14ac:dyDescent="0.25">
      <c r="A104" s="3" t="s">
        <v>103</v>
      </c>
      <c r="B104" s="3" t="s">
        <v>113</v>
      </c>
      <c r="C104" s="3">
        <v>69.459999999999994</v>
      </c>
      <c r="D104" s="3">
        <v>1</v>
      </c>
      <c r="E104" s="11">
        <f t="shared" si="2"/>
        <v>1.869158878504673E-3</v>
      </c>
      <c r="F104">
        <f>SUM(D$4:D104)</f>
        <v>526</v>
      </c>
      <c r="G104" s="12">
        <f>SUM(E$4:E104)</f>
        <v>0.98317757009345885</v>
      </c>
      <c r="I104" s="3" t="s">
        <v>103</v>
      </c>
      <c r="J104" s="3" t="s">
        <v>26</v>
      </c>
      <c r="K104" s="3">
        <v>295.31</v>
      </c>
      <c r="L104" s="3">
        <v>2</v>
      </c>
      <c r="M104" s="11">
        <f t="shared" si="3"/>
        <v>1.0548523206751054E-3</v>
      </c>
      <c r="N104">
        <f>SUM(L$4:L104)</f>
        <v>1742</v>
      </c>
      <c r="O104" s="12">
        <f>SUM(M$4:M104)</f>
        <v>0.9187763713080167</v>
      </c>
    </row>
    <row r="105" spans="1:15" x14ac:dyDescent="0.25">
      <c r="A105" s="1" t="s">
        <v>103</v>
      </c>
      <c r="B105" s="1" t="s">
        <v>40</v>
      </c>
      <c r="C105" s="1">
        <v>61.59</v>
      </c>
      <c r="D105" s="1">
        <v>1</v>
      </c>
      <c r="E105" s="11">
        <f t="shared" si="2"/>
        <v>1.869158878504673E-3</v>
      </c>
      <c r="F105">
        <f>SUM(D$4:D105)</f>
        <v>527</v>
      </c>
      <c r="G105" s="12">
        <f>SUM(E$4:E105)</f>
        <v>0.98504672897196355</v>
      </c>
      <c r="I105" s="1" t="s">
        <v>103</v>
      </c>
      <c r="J105" s="1" t="s">
        <v>144</v>
      </c>
      <c r="K105" s="1">
        <v>214.24</v>
      </c>
      <c r="L105" s="1">
        <v>2</v>
      </c>
      <c r="M105" s="11">
        <f t="shared" si="3"/>
        <v>1.0548523206751054E-3</v>
      </c>
      <c r="N105">
        <f>SUM(L$4:L105)</f>
        <v>1744</v>
      </c>
      <c r="O105" s="12">
        <f>SUM(M$4:M105)</f>
        <v>0.91983122362869185</v>
      </c>
    </row>
    <row r="106" spans="1:15" x14ac:dyDescent="0.25">
      <c r="A106" s="3" t="s">
        <v>103</v>
      </c>
      <c r="B106" s="3" t="s">
        <v>57</v>
      </c>
      <c r="C106" s="3">
        <v>50</v>
      </c>
      <c r="D106" s="3">
        <v>1</v>
      </c>
      <c r="E106" s="11">
        <f t="shared" si="2"/>
        <v>1.869158878504673E-3</v>
      </c>
      <c r="F106">
        <f>SUM(D$4:D106)</f>
        <v>528</v>
      </c>
      <c r="G106" s="12">
        <f>SUM(E$4:E106)</f>
        <v>0.98691588785046824</v>
      </c>
      <c r="I106" s="3" t="s">
        <v>103</v>
      </c>
      <c r="J106" s="3" t="s">
        <v>145</v>
      </c>
      <c r="K106" s="3">
        <v>173.15</v>
      </c>
      <c r="L106" s="3">
        <v>2</v>
      </c>
      <c r="M106" s="11">
        <f t="shared" si="3"/>
        <v>1.0548523206751054E-3</v>
      </c>
      <c r="N106">
        <f>SUM(L$4:L106)</f>
        <v>1746</v>
      </c>
      <c r="O106" s="12">
        <f>SUM(M$4:M106)</f>
        <v>0.920886075949367</v>
      </c>
    </row>
    <row r="107" spans="1:15" x14ac:dyDescent="0.25">
      <c r="A107" s="1" t="s">
        <v>103</v>
      </c>
      <c r="B107" s="1" t="s">
        <v>43</v>
      </c>
      <c r="C107" s="1">
        <v>86.18</v>
      </c>
      <c r="D107" s="1">
        <v>1</v>
      </c>
      <c r="E107" s="11">
        <f t="shared" si="2"/>
        <v>1.869158878504673E-3</v>
      </c>
      <c r="F107">
        <f>SUM(D$4:D107)</f>
        <v>529</v>
      </c>
      <c r="G107" s="12">
        <f>SUM(E$4:E107)</f>
        <v>0.98878504672897294</v>
      </c>
      <c r="I107" s="1" t="s">
        <v>103</v>
      </c>
      <c r="J107" s="1" t="s">
        <v>146</v>
      </c>
      <c r="K107" s="1">
        <v>235.3</v>
      </c>
      <c r="L107" s="1">
        <v>2</v>
      </c>
      <c r="M107" s="11">
        <f t="shared" si="3"/>
        <v>1.0548523206751054E-3</v>
      </c>
      <c r="N107">
        <f>SUM(L$4:L107)</f>
        <v>1748</v>
      </c>
      <c r="O107" s="12">
        <f>SUM(M$4:M107)</f>
        <v>0.92194092827004215</v>
      </c>
    </row>
    <row r="108" spans="1:15" x14ac:dyDescent="0.25">
      <c r="A108" s="3" t="s">
        <v>103</v>
      </c>
      <c r="B108" s="3" t="s">
        <v>46</v>
      </c>
      <c r="C108" s="3">
        <v>8.9</v>
      </c>
      <c r="D108" s="3">
        <v>1</v>
      </c>
      <c r="E108" s="11">
        <f t="shared" si="2"/>
        <v>1.869158878504673E-3</v>
      </c>
      <c r="F108">
        <f>SUM(D$4:D108)</f>
        <v>530</v>
      </c>
      <c r="G108" s="12">
        <f>SUM(E$4:E108)</f>
        <v>0.99065420560747763</v>
      </c>
      <c r="I108" s="3" t="s">
        <v>103</v>
      </c>
      <c r="J108" s="3" t="s">
        <v>17</v>
      </c>
      <c r="K108" s="3">
        <v>208.97</v>
      </c>
      <c r="L108" s="3">
        <v>2</v>
      </c>
      <c r="M108" s="11">
        <f t="shared" si="3"/>
        <v>1.0548523206751054E-3</v>
      </c>
      <c r="N108">
        <f>SUM(L$4:L108)</f>
        <v>1750</v>
      </c>
      <c r="O108" s="12">
        <f>SUM(M$4:M108)</f>
        <v>0.9229957805907173</v>
      </c>
    </row>
    <row r="109" spans="1:15" x14ac:dyDescent="0.25">
      <c r="A109" s="1" t="s">
        <v>103</v>
      </c>
      <c r="B109" s="1" t="s">
        <v>105</v>
      </c>
      <c r="C109" s="1">
        <v>66.08</v>
      </c>
      <c r="D109" s="1">
        <v>1</v>
      </c>
      <c r="E109" s="11">
        <f t="shared" si="2"/>
        <v>1.869158878504673E-3</v>
      </c>
      <c r="F109">
        <f>SUM(D$4:D109)</f>
        <v>531</v>
      </c>
      <c r="G109" s="12">
        <f>SUM(E$4:E109)</f>
        <v>0.99252336448598233</v>
      </c>
      <c r="I109" s="1" t="s">
        <v>103</v>
      </c>
      <c r="J109" s="1" t="s">
        <v>147</v>
      </c>
      <c r="K109" s="1">
        <v>85.74</v>
      </c>
      <c r="L109" s="1">
        <v>2</v>
      </c>
      <c r="M109" s="11">
        <f t="shared" si="3"/>
        <v>1.0548523206751054E-3</v>
      </c>
      <c r="N109">
        <f>SUM(L$4:L109)</f>
        <v>1752</v>
      </c>
      <c r="O109" s="12">
        <f>SUM(M$4:M109)</f>
        <v>0.92405063291139244</v>
      </c>
    </row>
    <row r="110" spans="1:15" x14ac:dyDescent="0.25">
      <c r="A110" s="3" t="s">
        <v>103</v>
      </c>
      <c r="B110" s="3" t="s">
        <v>112</v>
      </c>
      <c r="C110" s="3">
        <v>41.9</v>
      </c>
      <c r="D110" s="3">
        <v>1</v>
      </c>
      <c r="E110" s="11">
        <f t="shared" si="2"/>
        <v>1.869158878504673E-3</v>
      </c>
      <c r="F110">
        <f>SUM(D$4:D110)</f>
        <v>532</v>
      </c>
      <c r="G110" s="12">
        <f>SUM(E$4:E110)</f>
        <v>0.99439252336448702</v>
      </c>
      <c r="I110" s="3" t="s">
        <v>103</v>
      </c>
      <c r="J110" s="3" t="s">
        <v>148</v>
      </c>
      <c r="K110" s="3">
        <v>207.19</v>
      </c>
      <c r="L110" s="3">
        <v>2</v>
      </c>
      <c r="M110" s="11">
        <f t="shared" si="3"/>
        <v>1.0548523206751054E-3</v>
      </c>
      <c r="N110">
        <f>SUM(L$4:L110)</f>
        <v>1754</v>
      </c>
      <c r="O110" s="12">
        <f>SUM(M$4:M110)</f>
        <v>0.92510548523206759</v>
      </c>
    </row>
    <row r="111" spans="1:15" x14ac:dyDescent="0.25">
      <c r="A111" s="1" t="s">
        <v>103</v>
      </c>
      <c r="B111" s="1" t="s">
        <v>62</v>
      </c>
      <c r="C111" s="1">
        <v>50.91</v>
      </c>
      <c r="D111" s="1">
        <v>1</v>
      </c>
      <c r="E111" s="11">
        <f t="shared" si="2"/>
        <v>1.869158878504673E-3</v>
      </c>
      <c r="F111">
        <f>SUM(D$4:D111)</f>
        <v>533</v>
      </c>
      <c r="G111" s="12">
        <f>SUM(E$4:E111)</f>
        <v>0.99626168224299172</v>
      </c>
      <c r="I111" s="1" t="s">
        <v>103</v>
      </c>
      <c r="J111" s="1" t="s">
        <v>149</v>
      </c>
      <c r="K111" s="1">
        <v>46.4</v>
      </c>
      <c r="L111" s="1">
        <v>2</v>
      </c>
      <c r="M111" s="11">
        <f t="shared" si="3"/>
        <v>1.0548523206751054E-3</v>
      </c>
      <c r="N111">
        <f>SUM(L$4:L111)</f>
        <v>1756</v>
      </c>
      <c r="O111" s="12">
        <f>SUM(M$4:M111)</f>
        <v>0.92616033755274274</v>
      </c>
    </row>
    <row r="112" spans="1:15" x14ac:dyDescent="0.25">
      <c r="A112" s="3" t="s">
        <v>103</v>
      </c>
      <c r="B112" s="3" t="s">
        <v>106</v>
      </c>
      <c r="C112" s="3">
        <v>100.33</v>
      </c>
      <c r="D112" s="3">
        <v>1</v>
      </c>
      <c r="E112" s="11">
        <f t="shared" si="2"/>
        <v>1.869158878504673E-3</v>
      </c>
      <c r="F112">
        <f>SUM(D$4:D112)</f>
        <v>534</v>
      </c>
      <c r="G112" s="12">
        <f>SUM(E$4:E112)</f>
        <v>0.99813084112149641</v>
      </c>
      <c r="I112" s="3" t="s">
        <v>103</v>
      </c>
      <c r="J112" s="3" t="s">
        <v>12</v>
      </c>
      <c r="K112" s="3">
        <v>255.49</v>
      </c>
      <c r="L112" s="3">
        <v>2</v>
      </c>
      <c r="M112" s="11">
        <f t="shared" si="3"/>
        <v>1.0548523206751054E-3</v>
      </c>
      <c r="N112">
        <f>SUM(L$4:L112)</f>
        <v>1758</v>
      </c>
      <c r="O112" s="12">
        <f>SUM(M$4:M112)</f>
        <v>0.92721518987341789</v>
      </c>
    </row>
    <row r="113" spans="1:15" x14ac:dyDescent="0.25">
      <c r="A113" s="1" t="s">
        <v>103</v>
      </c>
      <c r="B113" s="1" t="s">
        <v>76</v>
      </c>
      <c r="C113" s="1">
        <v>100.33</v>
      </c>
      <c r="D113" s="1">
        <v>1</v>
      </c>
      <c r="E113" s="11">
        <f t="shared" si="2"/>
        <v>1.869158878504673E-3</v>
      </c>
      <c r="F113">
        <f>SUM(D$4:D113)</f>
        <v>535</v>
      </c>
      <c r="G113" s="12">
        <f>SUM(E$4:E113)</f>
        <v>1.0000000000000011</v>
      </c>
      <c r="I113" s="1" t="s">
        <v>103</v>
      </c>
      <c r="J113" s="1" t="s">
        <v>150</v>
      </c>
      <c r="K113" s="1">
        <v>252.66</v>
      </c>
      <c r="L113" s="1">
        <v>2</v>
      </c>
      <c r="M113" s="11">
        <f t="shared" si="3"/>
        <v>1.0548523206751054E-3</v>
      </c>
      <c r="N113">
        <f>SUM(L$4:L113)</f>
        <v>1760</v>
      </c>
      <c r="O113" s="12">
        <f>SUM(M$4:M113)</f>
        <v>0.92827004219409304</v>
      </c>
    </row>
    <row r="114" spans="1:15" x14ac:dyDescent="0.25">
      <c r="I114" s="3" t="s">
        <v>103</v>
      </c>
      <c r="J114" s="3" t="s">
        <v>151</v>
      </c>
      <c r="K114" s="3">
        <v>265.20999999999998</v>
      </c>
      <c r="L114" s="3">
        <v>2</v>
      </c>
      <c r="M114" s="11">
        <f t="shared" si="3"/>
        <v>1.0548523206751054E-3</v>
      </c>
      <c r="N114">
        <f>SUM(L$4:L114)</f>
        <v>1762</v>
      </c>
      <c r="O114" s="12">
        <f>SUM(M$4:M114)</f>
        <v>0.92932489451476818</v>
      </c>
    </row>
    <row r="115" spans="1:15" x14ac:dyDescent="0.25">
      <c r="I115" s="1" t="s">
        <v>103</v>
      </c>
      <c r="J115" s="1" t="s">
        <v>152</v>
      </c>
      <c r="K115" s="1">
        <v>200.56</v>
      </c>
      <c r="L115" s="1">
        <v>2</v>
      </c>
      <c r="M115" s="11">
        <f t="shared" si="3"/>
        <v>1.0548523206751054E-3</v>
      </c>
      <c r="N115">
        <f>SUM(L$4:L115)</f>
        <v>1764</v>
      </c>
      <c r="O115" s="12">
        <f>SUM(M$4:M115)</f>
        <v>0.93037974683544333</v>
      </c>
    </row>
    <row r="116" spans="1:15" x14ac:dyDescent="0.25">
      <c r="I116" s="3" t="s">
        <v>103</v>
      </c>
      <c r="J116" s="3" t="s">
        <v>153</v>
      </c>
      <c r="K116" s="3">
        <v>408.58</v>
      </c>
      <c r="L116" s="3">
        <v>2</v>
      </c>
      <c r="M116" s="11">
        <f t="shared" si="3"/>
        <v>1.0548523206751054E-3</v>
      </c>
      <c r="N116">
        <f>SUM(L$4:L116)</f>
        <v>1766</v>
      </c>
      <c r="O116" s="12">
        <f>SUM(M$4:M116)</f>
        <v>0.93143459915611848</v>
      </c>
    </row>
    <row r="117" spans="1:15" x14ac:dyDescent="0.25">
      <c r="I117" s="1" t="s">
        <v>103</v>
      </c>
      <c r="J117" s="1" t="s">
        <v>109</v>
      </c>
      <c r="K117" s="1">
        <v>181.89</v>
      </c>
      <c r="L117" s="1">
        <v>2</v>
      </c>
      <c r="M117" s="11">
        <f t="shared" si="3"/>
        <v>1.0548523206751054E-3</v>
      </c>
      <c r="N117">
        <f>SUM(L$4:L117)</f>
        <v>1768</v>
      </c>
      <c r="O117" s="12">
        <f>SUM(M$4:M117)</f>
        <v>0.93248945147679363</v>
      </c>
    </row>
    <row r="118" spans="1:15" x14ac:dyDescent="0.25">
      <c r="I118" s="3" t="s">
        <v>103</v>
      </c>
      <c r="J118" s="3" t="s">
        <v>154</v>
      </c>
      <c r="K118" s="3">
        <v>330.18</v>
      </c>
      <c r="L118" s="3">
        <v>2</v>
      </c>
      <c r="M118" s="11">
        <f t="shared" si="3"/>
        <v>1.0548523206751054E-3</v>
      </c>
      <c r="N118">
        <f>SUM(L$4:L118)</f>
        <v>1770</v>
      </c>
      <c r="O118" s="12">
        <f>SUM(M$4:M118)</f>
        <v>0.93354430379746878</v>
      </c>
    </row>
    <row r="119" spans="1:15" x14ac:dyDescent="0.25">
      <c r="I119" s="1" t="s">
        <v>103</v>
      </c>
      <c r="J119" s="1" t="s">
        <v>155</v>
      </c>
      <c r="K119" s="1">
        <v>88.48</v>
      </c>
      <c r="L119" s="1">
        <v>2</v>
      </c>
      <c r="M119" s="11">
        <f t="shared" si="3"/>
        <v>1.0548523206751054E-3</v>
      </c>
      <c r="N119">
        <f>SUM(L$4:L119)</f>
        <v>1772</v>
      </c>
      <c r="O119" s="12">
        <f>SUM(M$4:M119)</f>
        <v>0.93459915611814393</v>
      </c>
    </row>
    <row r="120" spans="1:15" x14ac:dyDescent="0.25">
      <c r="I120" s="3" t="s">
        <v>103</v>
      </c>
      <c r="J120" s="3" t="s">
        <v>156</v>
      </c>
      <c r="K120" s="3">
        <v>330.18</v>
      </c>
      <c r="L120" s="3">
        <v>2</v>
      </c>
      <c r="M120" s="11">
        <f t="shared" si="3"/>
        <v>1.0548523206751054E-3</v>
      </c>
      <c r="N120">
        <f>SUM(L$4:L120)</f>
        <v>1774</v>
      </c>
      <c r="O120" s="12">
        <f>SUM(M$4:M120)</f>
        <v>0.93565400843881907</v>
      </c>
    </row>
    <row r="121" spans="1:15" x14ac:dyDescent="0.25">
      <c r="I121" s="1" t="s">
        <v>103</v>
      </c>
      <c r="J121" s="1" t="s">
        <v>157</v>
      </c>
      <c r="K121" s="1">
        <v>518.30999999999995</v>
      </c>
      <c r="L121" s="1">
        <v>2</v>
      </c>
      <c r="M121" s="11">
        <f t="shared" si="3"/>
        <v>1.0548523206751054E-3</v>
      </c>
      <c r="N121">
        <f>SUM(L$4:L121)</f>
        <v>1776</v>
      </c>
      <c r="O121" s="12">
        <f>SUM(M$4:M121)</f>
        <v>0.93670886075949422</v>
      </c>
    </row>
    <row r="122" spans="1:15" x14ac:dyDescent="0.25">
      <c r="I122" s="3" t="s">
        <v>103</v>
      </c>
      <c r="J122" s="3" t="s">
        <v>158</v>
      </c>
      <c r="K122" s="3">
        <v>326.77</v>
      </c>
      <c r="L122" s="3">
        <v>2</v>
      </c>
      <c r="M122" s="11">
        <f t="shared" si="3"/>
        <v>1.0548523206751054E-3</v>
      </c>
      <c r="N122">
        <f>SUM(L$4:L122)</f>
        <v>1778</v>
      </c>
      <c r="O122" s="12">
        <f>SUM(M$4:M122)</f>
        <v>0.93776371308016937</v>
      </c>
    </row>
    <row r="123" spans="1:15" x14ac:dyDescent="0.25">
      <c r="I123" s="1" t="s">
        <v>103</v>
      </c>
      <c r="J123" s="1" t="s">
        <v>159</v>
      </c>
      <c r="K123" s="1">
        <v>149.38</v>
      </c>
      <c r="L123" s="1">
        <v>2</v>
      </c>
      <c r="M123" s="11">
        <f t="shared" si="3"/>
        <v>1.0548523206751054E-3</v>
      </c>
      <c r="N123">
        <f>SUM(L$4:L123)</f>
        <v>1780</v>
      </c>
      <c r="O123" s="12">
        <f>SUM(M$4:M123)</f>
        <v>0.93881856540084452</v>
      </c>
    </row>
    <row r="124" spans="1:15" x14ac:dyDescent="0.25">
      <c r="I124" s="3" t="s">
        <v>103</v>
      </c>
      <c r="J124" s="3" t="s">
        <v>160</v>
      </c>
      <c r="K124" s="3">
        <v>43.59</v>
      </c>
      <c r="L124" s="3">
        <v>2</v>
      </c>
      <c r="M124" s="11">
        <f t="shared" si="3"/>
        <v>1.0548523206751054E-3</v>
      </c>
      <c r="N124">
        <f>SUM(L$4:L124)</f>
        <v>1782</v>
      </c>
      <c r="O124" s="12">
        <f>SUM(M$4:M124)</f>
        <v>0.93987341772151967</v>
      </c>
    </row>
    <row r="125" spans="1:15" x14ac:dyDescent="0.25">
      <c r="I125" s="1" t="s">
        <v>103</v>
      </c>
      <c r="J125" s="1" t="s">
        <v>161</v>
      </c>
      <c r="K125" s="1">
        <v>57.94</v>
      </c>
      <c r="L125" s="1">
        <v>2</v>
      </c>
      <c r="M125" s="11">
        <f t="shared" si="3"/>
        <v>1.0548523206751054E-3</v>
      </c>
      <c r="N125">
        <f>SUM(L$4:L125)</f>
        <v>1784</v>
      </c>
      <c r="O125" s="12">
        <f>SUM(M$4:M125)</f>
        <v>0.94092827004219481</v>
      </c>
    </row>
    <row r="126" spans="1:15" x14ac:dyDescent="0.25">
      <c r="I126" s="3" t="s">
        <v>103</v>
      </c>
      <c r="J126" s="3" t="s">
        <v>94</v>
      </c>
      <c r="K126" s="3">
        <v>260.39</v>
      </c>
      <c r="L126" s="3">
        <v>2</v>
      </c>
      <c r="M126" s="11">
        <f t="shared" si="3"/>
        <v>1.0548523206751054E-3</v>
      </c>
      <c r="N126">
        <f>SUM(L$4:L126)</f>
        <v>1786</v>
      </c>
      <c r="O126" s="12">
        <f>SUM(M$4:M126)</f>
        <v>0.94198312236286996</v>
      </c>
    </row>
    <row r="127" spans="1:15" x14ac:dyDescent="0.25">
      <c r="I127" s="1" t="s">
        <v>103</v>
      </c>
      <c r="J127" s="1" t="s">
        <v>162</v>
      </c>
      <c r="K127" s="1">
        <v>102.7</v>
      </c>
      <c r="L127" s="1">
        <v>2</v>
      </c>
      <c r="M127" s="11">
        <f t="shared" si="3"/>
        <v>1.0548523206751054E-3</v>
      </c>
      <c r="N127">
        <f>SUM(L$4:L127)</f>
        <v>1788</v>
      </c>
      <c r="O127" s="12">
        <f>SUM(M$4:M127)</f>
        <v>0.94303797468354511</v>
      </c>
    </row>
    <row r="128" spans="1:15" x14ac:dyDescent="0.25">
      <c r="I128" s="3" t="s">
        <v>103</v>
      </c>
      <c r="J128" s="3" t="s">
        <v>163</v>
      </c>
      <c r="K128" s="3">
        <v>49.61</v>
      </c>
      <c r="L128" s="3">
        <v>2</v>
      </c>
      <c r="M128" s="11">
        <f t="shared" si="3"/>
        <v>1.0548523206751054E-3</v>
      </c>
      <c r="N128">
        <f>SUM(L$4:L128)</f>
        <v>1790</v>
      </c>
      <c r="O128" s="12">
        <f>SUM(M$4:M128)</f>
        <v>0.94409282700422026</v>
      </c>
    </row>
    <row r="129" spans="9:15" x14ac:dyDescent="0.25">
      <c r="I129" s="1" t="s">
        <v>103</v>
      </c>
      <c r="J129" s="1" t="s">
        <v>164</v>
      </c>
      <c r="K129" s="1">
        <v>54.51</v>
      </c>
      <c r="L129" s="1">
        <v>2</v>
      </c>
      <c r="M129" s="11">
        <f t="shared" si="3"/>
        <v>1.0548523206751054E-3</v>
      </c>
      <c r="N129">
        <f>SUM(L$4:L129)</f>
        <v>1792</v>
      </c>
      <c r="O129" s="12">
        <f>SUM(M$4:M129)</f>
        <v>0.94514767932489541</v>
      </c>
    </row>
    <row r="130" spans="9:15" x14ac:dyDescent="0.25">
      <c r="I130" s="3" t="s">
        <v>103</v>
      </c>
      <c r="J130" s="3" t="s">
        <v>165</v>
      </c>
      <c r="K130" s="3">
        <v>49.75</v>
      </c>
      <c r="L130" s="3">
        <v>2</v>
      </c>
      <c r="M130" s="11">
        <f t="shared" si="3"/>
        <v>1.0548523206751054E-3</v>
      </c>
      <c r="N130">
        <f>SUM(L$4:L130)</f>
        <v>1794</v>
      </c>
      <c r="O130" s="12">
        <f>SUM(M$4:M130)</f>
        <v>0.94620253164557055</v>
      </c>
    </row>
    <row r="131" spans="9:15" x14ac:dyDescent="0.25">
      <c r="I131" s="1" t="s">
        <v>103</v>
      </c>
      <c r="J131" s="1" t="s">
        <v>166</v>
      </c>
      <c r="K131" s="1">
        <v>330.18</v>
      </c>
      <c r="L131" s="1">
        <v>2</v>
      </c>
      <c r="M131" s="11">
        <f t="shared" si="3"/>
        <v>1.0548523206751054E-3</v>
      </c>
      <c r="N131">
        <f>SUM(L$4:L131)</f>
        <v>1796</v>
      </c>
      <c r="O131" s="12">
        <f>SUM(M$4:M131)</f>
        <v>0.9472573839662457</v>
      </c>
    </row>
    <row r="132" spans="9:15" x14ac:dyDescent="0.25">
      <c r="I132" s="3">
        <v>129</v>
      </c>
      <c r="J132" s="3" t="s">
        <v>33</v>
      </c>
      <c r="K132" s="3">
        <v>242.95</v>
      </c>
      <c r="L132" s="3">
        <v>1</v>
      </c>
      <c r="M132" s="11">
        <f t="shared" si="3"/>
        <v>5.274261603375527E-4</v>
      </c>
      <c r="N132">
        <f>SUM(L$4:L132)</f>
        <v>1797</v>
      </c>
      <c r="O132" s="12">
        <f>SUM(M$4:M132)</f>
        <v>0.94778481012658322</v>
      </c>
    </row>
    <row r="133" spans="9:15" x14ac:dyDescent="0.25">
      <c r="I133" s="1" t="s">
        <v>103</v>
      </c>
      <c r="J133" s="1" t="s">
        <v>167</v>
      </c>
      <c r="K133" s="1">
        <v>27.58</v>
      </c>
      <c r="L133" s="1">
        <v>1</v>
      </c>
      <c r="M133" s="11">
        <f t="shared" ref="M133:M196" si="4">L133/SUM($L$4:$L$231)</f>
        <v>5.274261603375527E-4</v>
      </c>
      <c r="N133">
        <f>SUM(L$4:L133)</f>
        <v>1798</v>
      </c>
      <c r="O133" s="12">
        <f>SUM(M$4:M133)</f>
        <v>0.94831223628692074</v>
      </c>
    </row>
    <row r="134" spans="9:15" x14ac:dyDescent="0.25">
      <c r="I134" s="3" t="s">
        <v>103</v>
      </c>
      <c r="J134" s="3" t="s">
        <v>102</v>
      </c>
      <c r="K134" s="3">
        <v>121.47</v>
      </c>
      <c r="L134" s="3">
        <v>1</v>
      </c>
      <c r="M134" s="11">
        <f t="shared" si="4"/>
        <v>5.274261603375527E-4</v>
      </c>
      <c r="N134">
        <f>SUM(L$4:L134)</f>
        <v>1799</v>
      </c>
      <c r="O134" s="12">
        <f>SUM(M$4:M134)</f>
        <v>0.94883966244725826</v>
      </c>
    </row>
    <row r="135" spans="9:15" x14ac:dyDescent="0.25">
      <c r="I135" s="1" t="s">
        <v>103</v>
      </c>
      <c r="J135" s="1" t="s">
        <v>168</v>
      </c>
      <c r="K135" s="1">
        <v>112.56</v>
      </c>
      <c r="L135" s="1">
        <v>1</v>
      </c>
      <c r="M135" s="11">
        <f t="shared" si="4"/>
        <v>5.274261603375527E-4</v>
      </c>
      <c r="N135">
        <f>SUM(L$4:L135)</f>
        <v>1800</v>
      </c>
      <c r="O135" s="12">
        <f>SUM(M$4:M135)</f>
        <v>0.94936708860759578</v>
      </c>
    </row>
    <row r="136" spans="9:15" x14ac:dyDescent="0.25">
      <c r="I136" s="3" t="s">
        <v>103</v>
      </c>
      <c r="J136" s="3" t="s">
        <v>169</v>
      </c>
      <c r="K136" s="3">
        <v>41.67</v>
      </c>
      <c r="L136" s="3">
        <v>1</v>
      </c>
      <c r="M136" s="11">
        <f t="shared" si="4"/>
        <v>5.274261603375527E-4</v>
      </c>
      <c r="N136">
        <f>SUM(L$4:L136)</f>
        <v>1801</v>
      </c>
      <c r="O136" s="12">
        <f>SUM(M$4:M136)</f>
        <v>0.9498945147679333</v>
      </c>
    </row>
    <row r="137" spans="9:15" x14ac:dyDescent="0.25">
      <c r="I137" s="1" t="s">
        <v>103</v>
      </c>
      <c r="J137" s="1" t="s">
        <v>170</v>
      </c>
      <c r="K137" s="1">
        <v>131.15</v>
      </c>
      <c r="L137" s="1">
        <v>1</v>
      </c>
      <c r="M137" s="11">
        <f t="shared" si="4"/>
        <v>5.274261603375527E-4</v>
      </c>
      <c r="N137">
        <f>SUM(L$4:L137)</f>
        <v>1802</v>
      </c>
      <c r="O137" s="12">
        <f>SUM(M$4:M137)</f>
        <v>0.95042194092827081</v>
      </c>
    </row>
    <row r="138" spans="9:15" x14ac:dyDescent="0.25">
      <c r="I138" s="3" t="s">
        <v>103</v>
      </c>
      <c r="J138" s="3" t="s">
        <v>171</v>
      </c>
      <c r="K138" s="3">
        <v>148.52000000000001</v>
      </c>
      <c r="L138" s="3">
        <v>1</v>
      </c>
      <c r="M138" s="11">
        <f t="shared" si="4"/>
        <v>5.274261603375527E-4</v>
      </c>
      <c r="N138">
        <f>SUM(L$4:L138)</f>
        <v>1803</v>
      </c>
      <c r="O138" s="12">
        <f>SUM(M$4:M138)</f>
        <v>0.95094936708860833</v>
      </c>
    </row>
    <row r="139" spans="9:15" x14ac:dyDescent="0.25">
      <c r="I139" s="1" t="s">
        <v>103</v>
      </c>
      <c r="J139" s="1" t="s">
        <v>40</v>
      </c>
      <c r="K139" s="1">
        <v>61.59</v>
      </c>
      <c r="L139" s="1">
        <v>1</v>
      </c>
      <c r="M139" s="11">
        <f t="shared" si="4"/>
        <v>5.274261603375527E-4</v>
      </c>
      <c r="N139">
        <f>SUM(L$4:L139)</f>
        <v>1804</v>
      </c>
      <c r="O139" s="12">
        <f>SUM(M$4:M139)</f>
        <v>0.95147679324894585</v>
      </c>
    </row>
    <row r="140" spans="9:15" x14ac:dyDescent="0.25">
      <c r="I140" s="3" t="s">
        <v>103</v>
      </c>
      <c r="J140" s="3" t="s">
        <v>172</v>
      </c>
      <c r="K140" s="3">
        <v>26.12</v>
      </c>
      <c r="L140" s="3">
        <v>1</v>
      </c>
      <c r="M140" s="11">
        <f t="shared" si="4"/>
        <v>5.274261603375527E-4</v>
      </c>
      <c r="N140">
        <f>SUM(L$4:L140)</f>
        <v>1805</v>
      </c>
      <c r="O140" s="12">
        <f>SUM(M$4:M140)</f>
        <v>0.95200421940928337</v>
      </c>
    </row>
    <row r="141" spans="9:15" x14ac:dyDescent="0.25">
      <c r="I141" s="1" t="s">
        <v>103</v>
      </c>
      <c r="J141" s="1" t="s">
        <v>58</v>
      </c>
      <c r="K141" s="1">
        <v>50.91</v>
      </c>
      <c r="L141" s="1">
        <v>1</v>
      </c>
      <c r="M141" s="11">
        <f t="shared" si="4"/>
        <v>5.274261603375527E-4</v>
      </c>
      <c r="N141">
        <f>SUM(L$4:L141)</f>
        <v>1806</v>
      </c>
      <c r="O141" s="12">
        <f>SUM(M$4:M141)</f>
        <v>0.95253164556962089</v>
      </c>
    </row>
    <row r="142" spans="9:15" x14ac:dyDescent="0.25">
      <c r="I142" s="3" t="s">
        <v>103</v>
      </c>
      <c r="J142" s="3" t="s">
        <v>113</v>
      </c>
      <c r="K142" s="3">
        <v>69.459999999999994</v>
      </c>
      <c r="L142" s="3">
        <v>1</v>
      </c>
      <c r="M142" s="11">
        <f t="shared" si="4"/>
        <v>5.274261603375527E-4</v>
      </c>
      <c r="N142">
        <f>SUM(L$4:L142)</f>
        <v>1807</v>
      </c>
      <c r="O142" s="12">
        <f>SUM(M$4:M142)</f>
        <v>0.95305907172995841</v>
      </c>
    </row>
    <row r="143" spans="9:15" x14ac:dyDescent="0.25">
      <c r="I143" s="1" t="s">
        <v>103</v>
      </c>
      <c r="J143" s="1" t="s">
        <v>173</v>
      </c>
      <c r="K143" s="1">
        <v>173.84</v>
      </c>
      <c r="L143" s="1">
        <v>1</v>
      </c>
      <c r="M143" s="11">
        <f t="shared" si="4"/>
        <v>5.274261603375527E-4</v>
      </c>
      <c r="N143">
        <f>SUM(L$4:L143)</f>
        <v>1808</v>
      </c>
      <c r="O143" s="12">
        <f>SUM(M$4:M143)</f>
        <v>0.95358649789029593</v>
      </c>
    </row>
    <row r="144" spans="9:15" x14ac:dyDescent="0.25">
      <c r="I144" s="3" t="s">
        <v>103</v>
      </c>
      <c r="J144" s="3" t="s">
        <v>174</v>
      </c>
      <c r="K144" s="3">
        <v>9.7799999999999994</v>
      </c>
      <c r="L144" s="3">
        <v>1</v>
      </c>
      <c r="M144" s="11">
        <f t="shared" si="4"/>
        <v>5.274261603375527E-4</v>
      </c>
      <c r="N144">
        <f>SUM(L$4:L144)</f>
        <v>1809</v>
      </c>
      <c r="O144" s="12">
        <f>SUM(M$4:M144)</f>
        <v>0.95411392405063344</v>
      </c>
    </row>
    <row r="145" spans="9:15" x14ac:dyDescent="0.25">
      <c r="I145" s="1" t="s">
        <v>103</v>
      </c>
      <c r="J145" s="1" t="s">
        <v>99</v>
      </c>
      <c r="K145" s="1">
        <v>80.62</v>
      </c>
      <c r="L145" s="1">
        <v>1</v>
      </c>
      <c r="M145" s="11">
        <f t="shared" si="4"/>
        <v>5.274261603375527E-4</v>
      </c>
      <c r="N145">
        <f>SUM(L$4:L145)</f>
        <v>1810</v>
      </c>
      <c r="O145" s="12">
        <f>SUM(M$4:M145)</f>
        <v>0.95464135021097096</v>
      </c>
    </row>
    <row r="146" spans="9:15" x14ac:dyDescent="0.25">
      <c r="I146" s="3" t="s">
        <v>103</v>
      </c>
      <c r="J146" s="3" t="s">
        <v>175</v>
      </c>
      <c r="K146" s="3">
        <v>173.84</v>
      </c>
      <c r="L146" s="3">
        <v>1</v>
      </c>
      <c r="M146" s="11">
        <f t="shared" si="4"/>
        <v>5.274261603375527E-4</v>
      </c>
      <c r="N146">
        <f>SUM(L$4:L146)</f>
        <v>1811</v>
      </c>
      <c r="O146" s="12">
        <f>SUM(M$4:M146)</f>
        <v>0.95516877637130848</v>
      </c>
    </row>
    <row r="147" spans="9:15" x14ac:dyDescent="0.25">
      <c r="I147" s="1" t="s">
        <v>103</v>
      </c>
      <c r="J147" s="1" t="s">
        <v>107</v>
      </c>
      <c r="K147" s="1">
        <v>121.47</v>
      </c>
      <c r="L147" s="1">
        <v>1</v>
      </c>
      <c r="M147" s="11">
        <f t="shared" si="4"/>
        <v>5.274261603375527E-4</v>
      </c>
      <c r="N147">
        <f>SUM(L$4:L147)</f>
        <v>1812</v>
      </c>
      <c r="O147" s="12">
        <f>SUM(M$4:M147)</f>
        <v>0.955696202531646</v>
      </c>
    </row>
    <row r="148" spans="9:15" x14ac:dyDescent="0.25">
      <c r="I148" s="3" t="s">
        <v>103</v>
      </c>
      <c r="J148" s="3" t="s">
        <v>176</v>
      </c>
      <c r="K148" s="3">
        <v>23.96</v>
      </c>
      <c r="L148" s="3">
        <v>1</v>
      </c>
      <c r="M148" s="11">
        <f t="shared" si="4"/>
        <v>5.274261603375527E-4</v>
      </c>
      <c r="N148">
        <f>SUM(L$4:L148)</f>
        <v>1813</v>
      </c>
      <c r="O148" s="12">
        <f>SUM(M$4:M148)</f>
        <v>0.95622362869198352</v>
      </c>
    </row>
    <row r="149" spans="9:15" x14ac:dyDescent="0.25">
      <c r="I149" s="1" t="s">
        <v>103</v>
      </c>
      <c r="J149" s="1" t="s">
        <v>177</v>
      </c>
      <c r="K149" s="1">
        <v>173.84</v>
      </c>
      <c r="L149" s="1">
        <v>1</v>
      </c>
      <c r="M149" s="11">
        <f t="shared" si="4"/>
        <v>5.274261603375527E-4</v>
      </c>
      <c r="N149">
        <f>SUM(L$4:L149)</f>
        <v>1814</v>
      </c>
      <c r="O149" s="12">
        <f>SUM(M$4:M149)</f>
        <v>0.95675105485232104</v>
      </c>
    </row>
    <row r="150" spans="9:15" x14ac:dyDescent="0.25">
      <c r="I150" s="3" t="s">
        <v>103</v>
      </c>
      <c r="J150" s="3" t="s">
        <v>95</v>
      </c>
      <c r="K150" s="3">
        <v>85</v>
      </c>
      <c r="L150" s="3">
        <v>1</v>
      </c>
      <c r="M150" s="11">
        <f t="shared" si="4"/>
        <v>5.274261603375527E-4</v>
      </c>
      <c r="N150">
        <f>SUM(L$4:L150)</f>
        <v>1815</v>
      </c>
      <c r="O150" s="12">
        <f>SUM(M$4:M150)</f>
        <v>0.95727848101265856</v>
      </c>
    </row>
    <row r="151" spans="9:15" x14ac:dyDescent="0.25">
      <c r="I151" s="1" t="s">
        <v>103</v>
      </c>
      <c r="J151" s="1" t="s">
        <v>178</v>
      </c>
      <c r="K151" s="1">
        <v>173.84</v>
      </c>
      <c r="L151" s="1">
        <v>1</v>
      </c>
      <c r="M151" s="11">
        <f t="shared" si="4"/>
        <v>5.274261603375527E-4</v>
      </c>
      <c r="N151">
        <f>SUM(L$4:L151)</f>
        <v>1816</v>
      </c>
      <c r="O151" s="12">
        <f>SUM(M$4:M151)</f>
        <v>0.95780590717299607</v>
      </c>
    </row>
    <row r="152" spans="9:15" x14ac:dyDescent="0.25">
      <c r="I152" s="3" t="s">
        <v>103</v>
      </c>
      <c r="J152" s="3" t="s">
        <v>179</v>
      </c>
      <c r="K152" s="3">
        <v>9.8800000000000008</v>
      </c>
      <c r="L152" s="3">
        <v>1</v>
      </c>
      <c r="M152" s="11">
        <f t="shared" si="4"/>
        <v>5.274261603375527E-4</v>
      </c>
      <c r="N152">
        <f>SUM(L$4:L152)</f>
        <v>1817</v>
      </c>
      <c r="O152" s="12">
        <f>SUM(M$4:M152)</f>
        <v>0.95833333333333359</v>
      </c>
    </row>
    <row r="153" spans="9:15" x14ac:dyDescent="0.25">
      <c r="I153" s="1" t="s">
        <v>103</v>
      </c>
      <c r="J153" s="1" t="s">
        <v>88</v>
      </c>
      <c r="K153" s="1">
        <v>307.33999999999997</v>
      </c>
      <c r="L153" s="1">
        <v>1</v>
      </c>
      <c r="M153" s="11">
        <f t="shared" si="4"/>
        <v>5.274261603375527E-4</v>
      </c>
      <c r="N153">
        <f>SUM(L$4:L153)</f>
        <v>1818</v>
      </c>
      <c r="O153" s="12">
        <f>SUM(M$4:M153)</f>
        <v>0.95886075949367111</v>
      </c>
    </row>
    <row r="154" spans="9:15" x14ac:dyDescent="0.25">
      <c r="I154" s="3" t="s">
        <v>103</v>
      </c>
      <c r="J154" s="3" t="s">
        <v>180</v>
      </c>
      <c r="K154" s="3">
        <v>75.63</v>
      </c>
      <c r="L154" s="3">
        <v>1</v>
      </c>
      <c r="M154" s="11">
        <f t="shared" si="4"/>
        <v>5.274261603375527E-4</v>
      </c>
      <c r="N154">
        <f>SUM(L$4:L154)</f>
        <v>1819</v>
      </c>
      <c r="O154" s="12">
        <f>SUM(M$4:M154)</f>
        <v>0.95938818565400863</v>
      </c>
    </row>
    <row r="155" spans="9:15" x14ac:dyDescent="0.25">
      <c r="I155" s="1" t="s">
        <v>103</v>
      </c>
      <c r="J155" s="1" t="s">
        <v>8</v>
      </c>
      <c r="K155" s="1">
        <v>121.47</v>
      </c>
      <c r="L155" s="1">
        <v>1</v>
      </c>
      <c r="M155" s="11">
        <f t="shared" si="4"/>
        <v>5.274261603375527E-4</v>
      </c>
      <c r="N155">
        <f>SUM(L$4:L155)</f>
        <v>1820</v>
      </c>
      <c r="O155" s="12">
        <f>SUM(M$4:M155)</f>
        <v>0.95991561181434615</v>
      </c>
    </row>
    <row r="156" spans="9:15" x14ac:dyDescent="0.25">
      <c r="I156" s="3" t="s">
        <v>103</v>
      </c>
      <c r="J156" s="3" t="s">
        <v>181</v>
      </c>
      <c r="K156" s="3">
        <v>27.16</v>
      </c>
      <c r="L156" s="3">
        <v>1</v>
      </c>
      <c r="M156" s="11">
        <f t="shared" si="4"/>
        <v>5.274261603375527E-4</v>
      </c>
      <c r="N156">
        <f>SUM(L$4:L156)</f>
        <v>1821</v>
      </c>
      <c r="O156" s="12">
        <f>SUM(M$4:M156)</f>
        <v>0.96044303797468367</v>
      </c>
    </row>
    <row r="157" spans="9:15" x14ac:dyDescent="0.25">
      <c r="I157" s="1" t="s">
        <v>103</v>
      </c>
      <c r="J157" s="1" t="s">
        <v>182</v>
      </c>
      <c r="K157" s="1">
        <v>49.59</v>
      </c>
      <c r="L157" s="1">
        <v>1</v>
      </c>
      <c r="M157" s="11">
        <f t="shared" si="4"/>
        <v>5.274261603375527E-4</v>
      </c>
      <c r="N157">
        <f>SUM(L$4:L157)</f>
        <v>1822</v>
      </c>
      <c r="O157" s="12">
        <f>SUM(M$4:M157)</f>
        <v>0.96097046413502119</v>
      </c>
    </row>
    <row r="158" spans="9:15" x14ac:dyDescent="0.25">
      <c r="I158" s="3" t="s">
        <v>103</v>
      </c>
      <c r="J158" s="3" t="s">
        <v>105</v>
      </c>
      <c r="K158" s="3">
        <v>66.08</v>
      </c>
      <c r="L158" s="3">
        <v>1</v>
      </c>
      <c r="M158" s="11">
        <f t="shared" si="4"/>
        <v>5.274261603375527E-4</v>
      </c>
      <c r="N158">
        <f>SUM(L$4:L158)</f>
        <v>1823</v>
      </c>
      <c r="O158" s="12">
        <f>SUM(M$4:M158)</f>
        <v>0.9614978902953587</v>
      </c>
    </row>
    <row r="159" spans="9:15" x14ac:dyDescent="0.25">
      <c r="I159" s="1" t="s">
        <v>103</v>
      </c>
      <c r="J159" s="1" t="s">
        <v>183</v>
      </c>
      <c r="K159" s="1">
        <v>100</v>
      </c>
      <c r="L159" s="1">
        <v>1</v>
      </c>
      <c r="M159" s="11">
        <f t="shared" si="4"/>
        <v>5.274261603375527E-4</v>
      </c>
      <c r="N159">
        <f>SUM(L$4:L159)</f>
        <v>1824</v>
      </c>
      <c r="O159" s="12">
        <f>SUM(M$4:M159)</f>
        <v>0.96202531645569622</v>
      </c>
    </row>
    <row r="160" spans="9:15" x14ac:dyDescent="0.25">
      <c r="I160" s="3" t="s">
        <v>103</v>
      </c>
      <c r="J160" s="3" t="s">
        <v>184</v>
      </c>
      <c r="K160" s="3">
        <v>49.84</v>
      </c>
      <c r="L160" s="3">
        <v>1</v>
      </c>
      <c r="M160" s="11">
        <f t="shared" si="4"/>
        <v>5.274261603375527E-4</v>
      </c>
      <c r="N160">
        <f>SUM(L$4:L160)</f>
        <v>1825</v>
      </c>
      <c r="O160" s="12">
        <f>SUM(M$4:M160)</f>
        <v>0.96255274261603374</v>
      </c>
    </row>
    <row r="161" spans="9:15" x14ac:dyDescent="0.25">
      <c r="I161" s="1" t="s">
        <v>103</v>
      </c>
      <c r="J161" s="1" t="s">
        <v>185</v>
      </c>
      <c r="K161" s="1">
        <v>279.76</v>
      </c>
      <c r="L161" s="1">
        <v>1</v>
      </c>
      <c r="M161" s="11">
        <f t="shared" si="4"/>
        <v>5.274261603375527E-4</v>
      </c>
      <c r="N161">
        <f>SUM(L$4:L161)</f>
        <v>1826</v>
      </c>
      <c r="O161" s="12">
        <f>SUM(M$4:M161)</f>
        <v>0.96308016877637126</v>
      </c>
    </row>
    <row r="162" spans="9:15" x14ac:dyDescent="0.25">
      <c r="I162" s="3" t="s">
        <v>103</v>
      </c>
      <c r="J162" s="3" t="s">
        <v>186</v>
      </c>
      <c r="K162" s="3">
        <v>142.04</v>
      </c>
      <c r="L162" s="3">
        <v>1</v>
      </c>
      <c r="M162" s="11">
        <f t="shared" si="4"/>
        <v>5.274261603375527E-4</v>
      </c>
      <c r="N162">
        <f>SUM(L$4:L162)</f>
        <v>1827</v>
      </c>
      <c r="O162" s="12">
        <f>SUM(M$4:M162)</f>
        <v>0.96360759493670878</v>
      </c>
    </row>
    <row r="163" spans="9:15" x14ac:dyDescent="0.25">
      <c r="I163" s="1" t="s">
        <v>103</v>
      </c>
      <c r="J163" s="1" t="s">
        <v>187</v>
      </c>
      <c r="K163" s="1">
        <v>26.12</v>
      </c>
      <c r="L163" s="1">
        <v>1</v>
      </c>
      <c r="M163" s="11">
        <f t="shared" si="4"/>
        <v>5.274261603375527E-4</v>
      </c>
      <c r="N163">
        <f>SUM(L$4:L163)</f>
        <v>1828</v>
      </c>
      <c r="O163" s="12">
        <f>SUM(M$4:M163)</f>
        <v>0.9641350210970463</v>
      </c>
    </row>
    <row r="164" spans="9:15" x14ac:dyDescent="0.25">
      <c r="I164" s="3" t="s">
        <v>103</v>
      </c>
      <c r="J164" s="3" t="s">
        <v>188</v>
      </c>
      <c r="K164" s="3">
        <v>136.77000000000001</v>
      </c>
      <c r="L164" s="3">
        <v>1</v>
      </c>
      <c r="M164" s="11">
        <f t="shared" si="4"/>
        <v>5.274261603375527E-4</v>
      </c>
      <c r="N164">
        <f>SUM(L$4:L164)</f>
        <v>1829</v>
      </c>
      <c r="O164" s="12">
        <f>SUM(M$4:M164)</f>
        <v>0.96466244725738381</v>
      </c>
    </row>
    <row r="165" spans="9:15" x14ac:dyDescent="0.25">
      <c r="I165" s="1" t="s">
        <v>103</v>
      </c>
      <c r="J165" s="1" t="s">
        <v>189</v>
      </c>
      <c r="K165" s="1">
        <v>19.07</v>
      </c>
      <c r="L165" s="1">
        <v>1</v>
      </c>
      <c r="M165" s="11">
        <f t="shared" si="4"/>
        <v>5.274261603375527E-4</v>
      </c>
      <c r="N165">
        <f>SUM(L$4:L165)</f>
        <v>1830</v>
      </c>
      <c r="O165" s="12">
        <f>SUM(M$4:M165)</f>
        <v>0.96518987341772133</v>
      </c>
    </row>
    <row r="166" spans="9:15" x14ac:dyDescent="0.25">
      <c r="I166" s="3" t="s">
        <v>103</v>
      </c>
      <c r="J166" s="3" t="s">
        <v>190</v>
      </c>
      <c r="K166" s="3">
        <v>198.58</v>
      </c>
      <c r="L166" s="3">
        <v>1</v>
      </c>
      <c r="M166" s="11">
        <f t="shared" si="4"/>
        <v>5.274261603375527E-4</v>
      </c>
      <c r="N166">
        <f>SUM(L$4:L166)</f>
        <v>1831</v>
      </c>
      <c r="O166" s="12">
        <f>SUM(M$4:M166)</f>
        <v>0.96571729957805885</v>
      </c>
    </row>
    <row r="167" spans="9:15" x14ac:dyDescent="0.25">
      <c r="I167" s="1" t="s">
        <v>103</v>
      </c>
      <c r="J167" s="1" t="s">
        <v>191</v>
      </c>
      <c r="K167" s="1">
        <v>173.84</v>
      </c>
      <c r="L167" s="1">
        <v>1</v>
      </c>
      <c r="M167" s="11">
        <f t="shared" si="4"/>
        <v>5.274261603375527E-4</v>
      </c>
      <c r="N167">
        <f>SUM(L$4:L167)</f>
        <v>1832</v>
      </c>
      <c r="O167" s="12">
        <f>SUM(M$4:M167)</f>
        <v>0.96624472573839637</v>
      </c>
    </row>
    <row r="168" spans="9:15" x14ac:dyDescent="0.25">
      <c r="I168" s="3" t="s">
        <v>103</v>
      </c>
      <c r="J168" s="3" t="s">
        <v>192</v>
      </c>
      <c r="K168" s="3">
        <v>142.04</v>
      </c>
      <c r="L168" s="3">
        <v>1</v>
      </c>
      <c r="M168" s="11">
        <f t="shared" si="4"/>
        <v>5.274261603375527E-4</v>
      </c>
      <c r="N168">
        <f>SUM(L$4:L168)</f>
        <v>1833</v>
      </c>
      <c r="O168" s="12">
        <f>SUM(M$4:M168)</f>
        <v>0.96677215189873389</v>
      </c>
    </row>
    <row r="169" spans="9:15" x14ac:dyDescent="0.25">
      <c r="I169" s="1" t="s">
        <v>103</v>
      </c>
      <c r="J169" s="1" t="s">
        <v>62</v>
      </c>
      <c r="K169" s="1">
        <v>50.91</v>
      </c>
      <c r="L169" s="1">
        <v>1</v>
      </c>
      <c r="M169" s="11">
        <f t="shared" si="4"/>
        <v>5.274261603375527E-4</v>
      </c>
      <c r="N169">
        <f>SUM(L$4:L169)</f>
        <v>1834</v>
      </c>
      <c r="O169" s="12">
        <f>SUM(M$4:M169)</f>
        <v>0.96729957805907141</v>
      </c>
    </row>
    <row r="170" spans="9:15" x14ac:dyDescent="0.25">
      <c r="I170" s="3" t="s">
        <v>103</v>
      </c>
      <c r="J170" s="3" t="s">
        <v>193</v>
      </c>
      <c r="K170" s="3">
        <v>51.2</v>
      </c>
      <c r="L170" s="3">
        <v>1</v>
      </c>
      <c r="M170" s="11">
        <f t="shared" si="4"/>
        <v>5.274261603375527E-4</v>
      </c>
      <c r="N170">
        <f>SUM(L$4:L170)</f>
        <v>1835</v>
      </c>
      <c r="O170" s="12">
        <f>SUM(M$4:M170)</f>
        <v>0.96782700421940893</v>
      </c>
    </row>
    <row r="171" spans="9:15" x14ac:dyDescent="0.25">
      <c r="I171" s="1" t="s">
        <v>103</v>
      </c>
      <c r="J171" s="1" t="s">
        <v>76</v>
      </c>
      <c r="K171" s="1">
        <v>100.33</v>
      </c>
      <c r="L171" s="1">
        <v>1</v>
      </c>
      <c r="M171" s="11">
        <f t="shared" si="4"/>
        <v>5.274261603375527E-4</v>
      </c>
      <c r="N171">
        <f>SUM(L$4:L171)</f>
        <v>1836</v>
      </c>
      <c r="O171" s="12">
        <f>SUM(M$4:M171)</f>
        <v>0.96835443037974644</v>
      </c>
    </row>
    <row r="172" spans="9:15" x14ac:dyDescent="0.25">
      <c r="I172" s="3" t="s">
        <v>103</v>
      </c>
      <c r="J172" s="3" t="s">
        <v>112</v>
      </c>
      <c r="K172" s="3">
        <v>41.9</v>
      </c>
      <c r="L172" s="3">
        <v>1</v>
      </c>
      <c r="M172" s="11">
        <f t="shared" si="4"/>
        <v>5.274261603375527E-4</v>
      </c>
      <c r="N172">
        <f>SUM(L$4:L172)</f>
        <v>1837</v>
      </c>
      <c r="O172" s="12">
        <f>SUM(M$4:M172)</f>
        <v>0.96888185654008396</v>
      </c>
    </row>
    <row r="173" spans="9:15" x14ac:dyDescent="0.25">
      <c r="I173" s="1" t="s">
        <v>103</v>
      </c>
      <c r="J173" s="1" t="s">
        <v>194</v>
      </c>
      <c r="K173" s="1">
        <v>148.52000000000001</v>
      </c>
      <c r="L173" s="1">
        <v>1</v>
      </c>
      <c r="M173" s="11">
        <f t="shared" si="4"/>
        <v>5.274261603375527E-4</v>
      </c>
      <c r="N173">
        <f>SUM(L$4:L173)</f>
        <v>1838</v>
      </c>
      <c r="O173" s="12">
        <f>SUM(M$4:M173)</f>
        <v>0.96940928270042148</v>
      </c>
    </row>
    <row r="174" spans="9:15" x14ac:dyDescent="0.25">
      <c r="I174" s="3" t="s">
        <v>103</v>
      </c>
      <c r="J174" s="3" t="s">
        <v>46</v>
      </c>
      <c r="K174" s="3">
        <v>8.9</v>
      </c>
      <c r="L174" s="3">
        <v>1</v>
      </c>
      <c r="M174" s="11">
        <f t="shared" si="4"/>
        <v>5.274261603375527E-4</v>
      </c>
      <c r="N174">
        <f>SUM(L$4:L174)</f>
        <v>1839</v>
      </c>
      <c r="O174" s="12">
        <f>SUM(M$4:M174)</f>
        <v>0.969936708860759</v>
      </c>
    </row>
    <row r="175" spans="9:15" x14ac:dyDescent="0.25">
      <c r="I175" s="1" t="s">
        <v>103</v>
      </c>
      <c r="J175" s="1" t="s">
        <v>195</v>
      </c>
      <c r="K175" s="1">
        <v>60</v>
      </c>
      <c r="L175" s="1">
        <v>1</v>
      </c>
      <c r="M175" s="11">
        <f t="shared" si="4"/>
        <v>5.274261603375527E-4</v>
      </c>
      <c r="N175">
        <f>SUM(L$4:L175)</f>
        <v>1840</v>
      </c>
      <c r="O175" s="12">
        <f>SUM(M$4:M175)</f>
        <v>0.97046413502109652</v>
      </c>
    </row>
    <row r="176" spans="9:15" x14ac:dyDescent="0.25">
      <c r="I176" s="3" t="s">
        <v>103</v>
      </c>
      <c r="J176" s="3" t="s">
        <v>39</v>
      </c>
      <c r="K176" s="3">
        <v>50.1</v>
      </c>
      <c r="L176" s="3">
        <v>1</v>
      </c>
      <c r="M176" s="11">
        <f t="shared" si="4"/>
        <v>5.274261603375527E-4</v>
      </c>
      <c r="N176">
        <f>SUM(L$4:L176)</f>
        <v>1841</v>
      </c>
      <c r="O176" s="12">
        <f>SUM(M$4:M176)</f>
        <v>0.97099156118143404</v>
      </c>
    </row>
    <row r="177" spans="9:15" x14ac:dyDescent="0.25">
      <c r="I177" s="1" t="s">
        <v>103</v>
      </c>
      <c r="J177" s="1" t="s">
        <v>196</v>
      </c>
      <c r="K177" s="1">
        <v>89.22</v>
      </c>
      <c r="L177" s="1">
        <v>1</v>
      </c>
      <c r="M177" s="11">
        <f t="shared" si="4"/>
        <v>5.274261603375527E-4</v>
      </c>
      <c r="N177">
        <f>SUM(L$4:L177)</f>
        <v>1842</v>
      </c>
      <c r="O177" s="12">
        <f>SUM(M$4:M177)</f>
        <v>0.97151898734177156</v>
      </c>
    </row>
    <row r="178" spans="9:15" x14ac:dyDescent="0.25">
      <c r="I178" s="3" t="s">
        <v>103</v>
      </c>
      <c r="J178" s="3" t="s">
        <v>197</v>
      </c>
      <c r="K178" s="3">
        <v>16.3</v>
      </c>
      <c r="L178" s="3">
        <v>1</v>
      </c>
      <c r="M178" s="11">
        <f t="shared" si="4"/>
        <v>5.274261603375527E-4</v>
      </c>
      <c r="N178">
        <f>SUM(L$4:L178)</f>
        <v>1843</v>
      </c>
      <c r="O178" s="12">
        <f>SUM(M$4:M178)</f>
        <v>0.97204641350210907</v>
      </c>
    </row>
    <row r="179" spans="9:15" x14ac:dyDescent="0.25">
      <c r="I179" s="1" t="s">
        <v>103</v>
      </c>
      <c r="J179" s="1" t="s">
        <v>198</v>
      </c>
      <c r="K179" s="1">
        <v>189.06</v>
      </c>
      <c r="L179" s="1">
        <v>1</v>
      </c>
      <c r="M179" s="11">
        <f t="shared" si="4"/>
        <v>5.274261603375527E-4</v>
      </c>
      <c r="N179">
        <f>SUM(L$4:L179)</f>
        <v>1844</v>
      </c>
      <c r="O179" s="12">
        <f>SUM(M$4:M179)</f>
        <v>0.97257383966244659</v>
      </c>
    </row>
    <row r="180" spans="9:15" x14ac:dyDescent="0.25">
      <c r="I180" s="3" t="s">
        <v>103</v>
      </c>
      <c r="J180" s="3" t="s">
        <v>199</v>
      </c>
      <c r="K180" s="3">
        <v>180.29</v>
      </c>
      <c r="L180" s="3">
        <v>1</v>
      </c>
      <c r="M180" s="11">
        <f t="shared" si="4"/>
        <v>5.274261603375527E-4</v>
      </c>
      <c r="N180">
        <f>SUM(L$4:L180)</f>
        <v>1845</v>
      </c>
      <c r="O180" s="12">
        <f>SUM(M$4:M180)</f>
        <v>0.97310126582278411</v>
      </c>
    </row>
    <row r="181" spans="9:15" x14ac:dyDescent="0.25">
      <c r="I181" s="1" t="s">
        <v>103</v>
      </c>
      <c r="J181" s="1" t="s">
        <v>200</v>
      </c>
      <c r="K181" s="1">
        <v>9.7799999999999994</v>
      </c>
      <c r="L181" s="1">
        <v>1</v>
      </c>
      <c r="M181" s="11">
        <f t="shared" si="4"/>
        <v>5.274261603375527E-4</v>
      </c>
      <c r="N181">
        <f>SUM(L$4:L181)</f>
        <v>1846</v>
      </c>
      <c r="O181" s="12">
        <f>SUM(M$4:M181)</f>
        <v>0.97362869198312163</v>
      </c>
    </row>
    <row r="182" spans="9:15" x14ac:dyDescent="0.25">
      <c r="I182" s="3" t="s">
        <v>103</v>
      </c>
      <c r="J182" s="3" t="s">
        <v>201</v>
      </c>
      <c r="K182" s="3">
        <v>9.7799999999999994</v>
      </c>
      <c r="L182" s="3">
        <v>1</v>
      </c>
      <c r="M182" s="11">
        <f t="shared" si="4"/>
        <v>5.274261603375527E-4</v>
      </c>
      <c r="N182">
        <f>SUM(L$4:L182)</f>
        <v>1847</v>
      </c>
      <c r="O182" s="12">
        <f>SUM(M$4:M182)</f>
        <v>0.97415611814345915</v>
      </c>
    </row>
    <row r="183" spans="9:15" x14ac:dyDescent="0.25">
      <c r="I183" s="1" t="s">
        <v>103</v>
      </c>
      <c r="J183" s="1" t="s">
        <v>202</v>
      </c>
      <c r="K183" s="1">
        <v>61.81</v>
      </c>
      <c r="L183" s="1">
        <v>1</v>
      </c>
      <c r="M183" s="11">
        <f t="shared" si="4"/>
        <v>5.274261603375527E-4</v>
      </c>
      <c r="N183">
        <f>SUM(L$4:L183)</f>
        <v>1848</v>
      </c>
      <c r="O183" s="12">
        <f>SUM(M$4:M183)</f>
        <v>0.97468354430379667</v>
      </c>
    </row>
    <row r="184" spans="9:15" x14ac:dyDescent="0.25">
      <c r="I184" s="3" t="s">
        <v>103</v>
      </c>
      <c r="J184" s="3" t="s">
        <v>203</v>
      </c>
      <c r="K184" s="3">
        <v>131.15</v>
      </c>
      <c r="L184" s="3">
        <v>1</v>
      </c>
      <c r="M184" s="11">
        <f t="shared" si="4"/>
        <v>5.274261603375527E-4</v>
      </c>
      <c r="N184">
        <f>SUM(L$4:L184)</f>
        <v>1849</v>
      </c>
      <c r="O184" s="12">
        <f>SUM(M$4:M184)</f>
        <v>0.97521097046413419</v>
      </c>
    </row>
    <row r="185" spans="9:15" x14ac:dyDescent="0.25">
      <c r="I185" s="1" t="s">
        <v>103</v>
      </c>
      <c r="J185" s="1" t="s">
        <v>25</v>
      </c>
      <c r="K185" s="1">
        <v>61.03</v>
      </c>
      <c r="L185" s="1">
        <v>1</v>
      </c>
      <c r="M185" s="11">
        <f t="shared" si="4"/>
        <v>5.274261603375527E-4</v>
      </c>
      <c r="N185">
        <f>SUM(L$4:L185)</f>
        <v>1850</v>
      </c>
      <c r="O185" s="12">
        <f>SUM(M$4:M185)</f>
        <v>0.9757383966244717</v>
      </c>
    </row>
    <row r="186" spans="9:15" x14ac:dyDescent="0.25">
      <c r="I186" s="3" t="s">
        <v>103</v>
      </c>
      <c r="J186" s="3" t="s">
        <v>204</v>
      </c>
      <c r="K186" s="3">
        <v>131.15</v>
      </c>
      <c r="L186" s="3">
        <v>1</v>
      </c>
      <c r="M186" s="11">
        <f t="shared" si="4"/>
        <v>5.274261603375527E-4</v>
      </c>
      <c r="N186">
        <f>SUM(L$4:L186)</f>
        <v>1851</v>
      </c>
      <c r="O186" s="12">
        <f>SUM(M$4:M186)</f>
        <v>0.97626582278480922</v>
      </c>
    </row>
    <row r="187" spans="9:15" x14ac:dyDescent="0.25">
      <c r="I187" s="1" t="s">
        <v>103</v>
      </c>
      <c r="J187" s="1" t="s">
        <v>205</v>
      </c>
      <c r="K187" s="1">
        <v>28.49</v>
      </c>
      <c r="L187" s="1">
        <v>1</v>
      </c>
      <c r="M187" s="11">
        <f t="shared" si="4"/>
        <v>5.274261603375527E-4</v>
      </c>
      <c r="N187">
        <f>SUM(L$4:L187)</f>
        <v>1852</v>
      </c>
      <c r="O187" s="12">
        <f>SUM(M$4:M187)</f>
        <v>0.97679324894514674</v>
      </c>
    </row>
    <row r="188" spans="9:15" x14ac:dyDescent="0.25">
      <c r="I188" s="3" t="s">
        <v>103</v>
      </c>
      <c r="J188" s="3" t="s">
        <v>206</v>
      </c>
      <c r="K188" s="3">
        <v>11.64</v>
      </c>
      <c r="L188" s="3">
        <v>1</v>
      </c>
      <c r="M188" s="11">
        <f t="shared" si="4"/>
        <v>5.274261603375527E-4</v>
      </c>
      <c r="N188">
        <f>SUM(L$4:L188)</f>
        <v>1853</v>
      </c>
      <c r="O188" s="12">
        <f>SUM(M$4:M188)</f>
        <v>0.97732067510548426</v>
      </c>
    </row>
    <row r="189" spans="9:15" x14ac:dyDescent="0.25">
      <c r="I189" s="1" t="s">
        <v>103</v>
      </c>
      <c r="J189" s="1" t="s">
        <v>51</v>
      </c>
      <c r="K189" s="1">
        <v>16.309999999999999</v>
      </c>
      <c r="L189" s="1">
        <v>1</v>
      </c>
      <c r="M189" s="11">
        <f t="shared" si="4"/>
        <v>5.274261603375527E-4</v>
      </c>
      <c r="N189">
        <f>SUM(L$4:L189)</f>
        <v>1854</v>
      </c>
      <c r="O189" s="12">
        <f>SUM(M$4:M189)</f>
        <v>0.97784810126582178</v>
      </c>
    </row>
    <row r="190" spans="9:15" x14ac:dyDescent="0.25">
      <c r="I190" s="3" t="s">
        <v>103</v>
      </c>
      <c r="J190" s="3" t="s">
        <v>98</v>
      </c>
      <c r="K190" s="3">
        <v>18.89</v>
      </c>
      <c r="L190" s="3">
        <v>1</v>
      </c>
      <c r="M190" s="11">
        <f t="shared" si="4"/>
        <v>5.274261603375527E-4</v>
      </c>
      <c r="N190">
        <f>SUM(L$4:L190)</f>
        <v>1855</v>
      </c>
      <c r="O190" s="12">
        <f>SUM(M$4:M190)</f>
        <v>0.9783755274261593</v>
      </c>
    </row>
    <row r="191" spans="9:15" x14ac:dyDescent="0.25">
      <c r="I191" s="1" t="s">
        <v>103</v>
      </c>
      <c r="J191" s="1" t="s">
        <v>207</v>
      </c>
      <c r="K191" s="1">
        <v>40.83</v>
      </c>
      <c r="L191" s="1">
        <v>1</v>
      </c>
      <c r="M191" s="11">
        <f t="shared" si="4"/>
        <v>5.274261603375527E-4</v>
      </c>
      <c r="N191">
        <f>SUM(L$4:L191)</f>
        <v>1856</v>
      </c>
      <c r="O191" s="12">
        <f>SUM(M$4:M191)</f>
        <v>0.97890295358649682</v>
      </c>
    </row>
    <row r="192" spans="9:15" x14ac:dyDescent="0.25">
      <c r="I192" s="3" t="s">
        <v>103</v>
      </c>
      <c r="J192" s="3" t="s">
        <v>208</v>
      </c>
      <c r="K192" s="3">
        <v>24.06</v>
      </c>
      <c r="L192" s="3">
        <v>1</v>
      </c>
      <c r="M192" s="11">
        <f t="shared" si="4"/>
        <v>5.274261603375527E-4</v>
      </c>
      <c r="N192">
        <f>SUM(L$4:L192)</f>
        <v>1857</v>
      </c>
      <c r="O192" s="12">
        <f>SUM(M$4:M192)</f>
        <v>0.97943037974683433</v>
      </c>
    </row>
    <row r="193" spans="9:15" x14ac:dyDescent="0.25">
      <c r="I193" s="1" t="s">
        <v>103</v>
      </c>
      <c r="J193" s="1" t="s">
        <v>209</v>
      </c>
      <c r="K193" s="1">
        <v>24.06</v>
      </c>
      <c r="L193" s="1">
        <v>1</v>
      </c>
      <c r="M193" s="11">
        <f t="shared" si="4"/>
        <v>5.274261603375527E-4</v>
      </c>
      <c r="N193">
        <f>SUM(L$4:L193)</f>
        <v>1858</v>
      </c>
      <c r="O193" s="12">
        <f>SUM(M$4:M193)</f>
        <v>0.97995780590717185</v>
      </c>
    </row>
    <row r="194" spans="9:15" x14ac:dyDescent="0.25">
      <c r="I194" s="3" t="s">
        <v>103</v>
      </c>
      <c r="J194" s="3" t="s">
        <v>210</v>
      </c>
      <c r="K194" s="3">
        <v>24.06</v>
      </c>
      <c r="L194" s="3">
        <v>1</v>
      </c>
      <c r="M194" s="11">
        <f t="shared" si="4"/>
        <v>5.274261603375527E-4</v>
      </c>
      <c r="N194">
        <f>SUM(L$4:L194)</f>
        <v>1859</v>
      </c>
      <c r="O194" s="12">
        <f>SUM(M$4:M194)</f>
        <v>0.98048523206750937</v>
      </c>
    </row>
    <row r="195" spans="9:15" x14ac:dyDescent="0.25">
      <c r="I195" s="1" t="s">
        <v>103</v>
      </c>
      <c r="J195" s="1" t="s">
        <v>80</v>
      </c>
      <c r="K195" s="1">
        <v>16.309999999999999</v>
      </c>
      <c r="L195" s="1">
        <v>1</v>
      </c>
      <c r="M195" s="11">
        <f t="shared" si="4"/>
        <v>5.274261603375527E-4</v>
      </c>
      <c r="N195">
        <f>SUM(L$4:L195)</f>
        <v>1860</v>
      </c>
      <c r="O195" s="12">
        <f>SUM(M$4:M195)</f>
        <v>0.98101265822784689</v>
      </c>
    </row>
    <row r="196" spans="9:15" x14ac:dyDescent="0.25">
      <c r="I196" s="3" t="s">
        <v>103</v>
      </c>
      <c r="J196" s="3" t="s">
        <v>211</v>
      </c>
      <c r="K196" s="3">
        <v>41.36</v>
      </c>
      <c r="L196" s="3">
        <v>1</v>
      </c>
      <c r="M196" s="11">
        <f t="shared" si="4"/>
        <v>5.274261603375527E-4</v>
      </c>
      <c r="N196">
        <f>SUM(L$4:L196)</f>
        <v>1861</v>
      </c>
      <c r="O196" s="12">
        <f>SUM(M$4:M196)</f>
        <v>0.98154008438818441</v>
      </c>
    </row>
    <row r="197" spans="9:15" x14ac:dyDescent="0.25">
      <c r="I197" s="1" t="s">
        <v>103</v>
      </c>
      <c r="J197" s="1" t="s">
        <v>212</v>
      </c>
      <c r="K197" s="1">
        <v>41.36</v>
      </c>
      <c r="L197" s="1">
        <v>1</v>
      </c>
      <c r="M197" s="11">
        <f t="shared" ref="M197:M231" si="5">L197/SUM($L$4:$L$231)</f>
        <v>5.274261603375527E-4</v>
      </c>
      <c r="N197">
        <f>SUM(L$4:L197)</f>
        <v>1862</v>
      </c>
      <c r="O197" s="12">
        <f>SUM(M$4:M197)</f>
        <v>0.98206751054852193</v>
      </c>
    </row>
    <row r="198" spans="9:15" x14ac:dyDescent="0.25">
      <c r="I198" s="3" t="s">
        <v>103</v>
      </c>
      <c r="J198" s="3" t="s">
        <v>213</v>
      </c>
      <c r="K198" s="3">
        <v>19.97</v>
      </c>
      <c r="L198" s="3">
        <v>1</v>
      </c>
      <c r="M198" s="11">
        <f t="shared" si="5"/>
        <v>5.274261603375527E-4</v>
      </c>
      <c r="N198">
        <f>SUM(L$4:L198)</f>
        <v>1863</v>
      </c>
      <c r="O198" s="12">
        <f>SUM(M$4:M198)</f>
        <v>0.98259493670885945</v>
      </c>
    </row>
    <row r="199" spans="9:15" x14ac:dyDescent="0.25">
      <c r="I199" s="1" t="s">
        <v>103</v>
      </c>
      <c r="J199" s="1" t="s">
        <v>214</v>
      </c>
      <c r="K199" s="1">
        <v>188.58</v>
      </c>
      <c r="L199" s="1">
        <v>1</v>
      </c>
      <c r="M199" s="11">
        <f t="shared" si="5"/>
        <v>5.274261603375527E-4</v>
      </c>
      <c r="N199">
        <f>SUM(L$4:L199)</f>
        <v>1864</v>
      </c>
      <c r="O199" s="12">
        <f>SUM(M$4:M199)</f>
        <v>0.98312236286919696</v>
      </c>
    </row>
    <row r="200" spans="9:15" x14ac:dyDescent="0.25">
      <c r="I200" s="3" t="s">
        <v>103</v>
      </c>
      <c r="J200" s="3" t="s">
        <v>215</v>
      </c>
      <c r="K200" s="3">
        <v>5.86</v>
      </c>
      <c r="L200" s="3">
        <v>1</v>
      </c>
      <c r="M200" s="11">
        <f t="shared" si="5"/>
        <v>5.274261603375527E-4</v>
      </c>
      <c r="N200">
        <f>SUM(L$4:L200)</f>
        <v>1865</v>
      </c>
      <c r="O200" s="12">
        <f>SUM(M$4:M200)</f>
        <v>0.98364978902953448</v>
      </c>
    </row>
    <row r="201" spans="9:15" x14ac:dyDescent="0.25">
      <c r="I201" s="1" t="s">
        <v>103</v>
      </c>
      <c r="J201" s="1" t="s">
        <v>216</v>
      </c>
      <c r="K201" s="1">
        <v>61.46</v>
      </c>
      <c r="L201" s="1">
        <v>1</v>
      </c>
      <c r="M201" s="11">
        <f t="shared" si="5"/>
        <v>5.274261603375527E-4</v>
      </c>
      <c r="N201">
        <f>SUM(L$4:L201)</f>
        <v>1866</v>
      </c>
      <c r="O201" s="12">
        <f>SUM(M$4:M201)</f>
        <v>0.984177215189872</v>
      </c>
    </row>
    <row r="202" spans="9:15" x14ac:dyDescent="0.25">
      <c r="I202" s="3" t="s">
        <v>103</v>
      </c>
      <c r="J202" s="3" t="s">
        <v>217</v>
      </c>
      <c r="K202" s="3">
        <v>18.920000000000002</v>
      </c>
      <c r="L202" s="3">
        <v>1</v>
      </c>
      <c r="M202" s="11">
        <f t="shared" si="5"/>
        <v>5.274261603375527E-4</v>
      </c>
      <c r="N202">
        <f>SUM(L$4:L202)</f>
        <v>1867</v>
      </c>
      <c r="O202" s="12">
        <f>SUM(M$4:M202)</f>
        <v>0.98470464135020952</v>
      </c>
    </row>
    <row r="203" spans="9:15" x14ac:dyDescent="0.25">
      <c r="I203" s="1" t="s">
        <v>103</v>
      </c>
      <c r="J203" s="1" t="s">
        <v>218</v>
      </c>
      <c r="K203" s="1">
        <v>18.27</v>
      </c>
      <c r="L203" s="1">
        <v>1</v>
      </c>
      <c r="M203" s="11">
        <f t="shared" si="5"/>
        <v>5.274261603375527E-4</v>
      </c>
      <c r="N203">
        <f>SUM(L$4:L203)</f>
        <v>1868</v>
      </c>
      <c r="O203" s="12">
        <f>SUM(M$4:M203)</f>
        <v>0.98523206751054704</v>
      </c>
    </row>
    <row r="204" spans="9:15" x14ac:dyDescent="0.25">
      <c r="I204" s="3" t="s">
        <v>103</v>
      </c>
      <c r="J204" s="3" t="s">
        <v>219</v>
      </c>
      <c r="K204" s="3">
        <v>135</v>
      </c>
      <c r="L204" s="3">
        <v>1</v>
      </c>
      <c r="M204" s="11">
        <f t="shared" si="5"/>
        <v>5.274261603375527E-4</v>
      </c>
      <c r="N204">
        <f>SUM(L$4:L204)</f>
        <v>1869</v>
      </c>
      <c r="O204" s="12">
        <f>SUM(M$4:M204)</f>
        <v>0.98575949367088456</v>
      </c>
    </row>
    <row r="205" spans="9:15" x14ac:dyDescent="0.25">
      <c r="I205" s="1" t="s">
        <v>103</v>
      </c>
      <c r="J205" s="1" t="s">
        <v>220</v>
      </c>
      <c r="K205" s="1">
        <v>173.84</v>
      </c>
      <c r="L205" s="1">
        <v>1</v>
      </c>
      <c r="M205" s="11">
        <f t="shared" si="5"/>
        <v>5.274261603375527E-4</v>
      </c>
      <c r="N205">
        <f>SUM(L$4:L205)</f>
        <v>1870</v>
      </c>
      <c r="O205" s="12">
        <f>SUM(M$4:M205)</f>
        <v>0.98628691983122208</v>
      </c>
    </row>
    <row r="206" spans="9:15" x14ac:dyDescent="0.25">
      <c r="I206" s="3" t="s">
        <v>103</v>
      </c>
      <c r="J206" s="3" t="s">
        <v>221</v>
      </c>
      <c r="K206" s="3">
        <v>11.64</v>
      </c>
      <c r="L206" s="3">
        <v>1</v>
      </c>
      <c r="M206" s="11">
        <f t="shared" si="5"/>
        <v>5.274261603375527E-4</v>
      </c>
      <c r="N206">
        <f>SUM(L$4:L206)</f>
        <v>1871</v>
      </c>
      <c r="O206" s="12">
        <f>SUM(M$4:M206)</f>
        <v>0.98681434599155959</v>
      </c>
    </row>
    <row r="207" spans="9:15" x14ac:dyDescent="0.25">
      <c r="I207" s="1" t="s">
        <v>103</v>
      </c>
      <c r="J207" s="1" t="s">
        <v>69</v>
      </c>
      <c r="K207" s="1">
        <v>40.72</v>
      </c>
      <c r="L207" s="1">
        <v>1</v>
      </c>
      <c r="M207" s="11">
        <f t="shared" si="5"/>
        <v>5.274261603375527E-4</v>
      </c>
      <c r="N207">
        <f>SUM(L$4:L207)</f>
        <v>1872</v>
      </c>
      <c r="O207" s="12">
        <f>SUM(M$4:M207)</f>
        <v>0.98734177215189711</v>
      </c>
    </row>
    <row r="208" spans="9:15" x14ac:dyDescent="0.25">
      <c r="I208" s="3" t="s">
        <v>103</v>
      </c>
      <c r="J208" s="3" t="s">
        <v>18</v>
      </c>
      <c r="K208" s="3">
        <v>70.91</v>
      </c>
      <c r="L208" s="3">
        <v>1</v>
      </c>
      <c r="M208" s="11">
        <f t="shared" si="5"/>
        <v>5.274261603375527E-4</v>
      </c>
      <c r="N208">
        <f>SUM(L$4:L208)</f>
        <v>1873</v>
      </c>
      <c r="O208" s="12">
        <f>SUM(M$4:M208)</f>
        <v>0.98786919831223463</v>
      </c>
    </row>
    <row r="209" spans="9:15" x14ac:dyDescent="0.25">
      <c r="I209" s="1" t="s">
        <v>103</v>
      </c>
      <c r="J209" s="1" t="s">
        <v>68</v>
      </c>
      <c r="K209" s="1">
        <v>100.34</v>
      </c>
      <c r="L209" s="1">
        <v>1</v>
      </c>
      <c r="M209" s="11">
        <f t="shared" si="5"/>
        <v>5.274261603375527E-4</v>
      </c>
      <c r="N209">
        <f>SUM(L$4:L209)</f>
        <v>1874</v>
      </c>
      <c r="O209" s="12">
        <f>SUM(M$4:M209)</f>
        <v>0.98839662447257215</v>
      </c>
    </row>
    <row r="210" spans="9:15" x14ac:dyDescent="0.25">
      <c r="I210" s="3" t="s">
        <v>103</v>
      </c>
      <c r="J210" s="3" t="s">
        <v>5</v>
      </c>
      <c r="K210" s="3">
        <v>50</v>
      </c>
      <c r="L210" s="3">
        <v>1</v>
      </c>
      <c r="M210" s="11">
        <f t="shared" si="5"/>
        <v>5.274261603375527E-4</v>
      </c>
      <c r="N210">
        <f>SUM(L$4:L210)</f>
        <v>1875</v>
      </c>
      <c r="O210" s="12">
        <f>SUM(M$4:M210)</f>
        <v>0.98892405063290967</v>
      </c>
    </row>
    <row r="211" spans="9:15" x14ac:dyDescent="0.25">
      <c r="I211" s="1" t="s">
        <v>103</v>
      </c>
      <c r="J211" s="1" t="s">
        <v>222</v>
      </c>
      <c r="K211" s="1">
        <v>23.96</v>
      </c>
      <c r="L211" s="1">
        <v>1</v>
      </c>
      <c r="M211" s="11">
        <f t="shared" si="5"/>
        <v>5.274261603375527E-4</v>
      </c>
      <c r="N211">
        <f>SUM(L$4:L211)</f>
        <v>1876</v>
      </c>
      <c r="O211" s="12">
        <f>SUM(M$4:M211)</f>
        <v>0.98945147679324719</v>
      </c>
    </row>
    <row r="212" spans="9:15" x14ac:dyDescent="0.25">
      <c r="I212" s="3" t="s">
        <v>103</v>
      </c>
      <c r="J212" s="3" t="s">
        <v>223</v>
      </c>
      <c r="K212" s="3">
        <v>142.04</v>
      </c>
      <c r="L212" s="3">
        <v>1</v>
      </c>
      <c r="M212" s="11">
        <f t="shared" si="5"/>
        <v>5.274261603375527E-4</v>
      </c>
      <c r="N212">
        <f>SUM(L$4:L212)</f>
        <v>1877</v>
      </c>
      <c r="O212" s="12">
        <f>SUM(M$4:M212)</f>
        <v>0.98997890295358471</v>
      </c>
    </row>
    <row r="213" spans="9:15" x14ac:dyDescent="0.25">
      <c r="I213" s="1" t="s">
        <v>103</v>
      </c>
      <c r="J213" s="1" t="s">
        <v>224</v>
      </c>
      <c r="K213" s="1">
        <v>189.06</v>
      </c>
      <c r="L213" s="1">
        <v>1</v>
      </c>
      <c r="M213" s="11">
        <f t="shared" si="5"/>
        <v>5.274261603375527E-4</v>
      </c>
      <c r="N213">
        <f>SUM(L$4:L213)</f>
        <v>1878</v>
      </c>
      <c r="O213" s="12">
        <f>SUM(M$4:M213)</f>
        <v>0.99050632911392222</v>
      </c>
    </row>
    <row r="214" spans="9:15" x14ac:dyDescent="0.25">
      <c r="I214" s="3" t="s">
        <v>103</v>
      </c>
      <c r="J214" s="3" t="s">
        <v>225</v>
      </c>
      <c r="K214" s="3">
        <v>26.96</v>
      </c>
      <c r="L214" s="3">
        <v>1</v>
      </c>
      <c r="M214" s="11">
        <f t="shared" si="5"/>
        <v>5.274261603375527E-4</v>
      </c>
      <c r="N214">
        <f>SUM(L$4:L214)</f>
        <v>1879</v>
      </c>
      <c r="O214" s="12">
        <f>SUM(M$4:M214)</f>
        <v>0.99103375527425974</v>
      </c>
    </row>
    <row r="215" spans="9:15" x14ac:dyDescent="0.25">
      <c r="I215" s="1" t="s">
        <v>103</v>
      </c>
      <c r="J215" s="1" t="s">
        <v>226</v>
      </c>
      <c r="K215" s="1">
        <v>91.37</v>
      </c>
      <c r="L215" s="1">
        <v>1</v>
      </c>
      <c r="M215" s="11">
        <f t="shared" si="5"/>
        <v>5.274261603375527E-4</v>
      </c>
      <c r="N215">
        <f>SUM(L$4:L215)</f>
        <v>1880</v>
      </c>
      <c r="O215" s="12">
        <f>SUM(M$4:M215)</f>
        <v>0.99156118143459726</v>
      </c>
    </row>
    <row r="216" spans="9:15" x14ac:dyDescent="0.25">
      <c r="I216" s="3" t="s">
        <v>103</v>
      </c>
      <c r="J216" s="3" t="s">
        <v>227</v>
      </c>
      <c r="K216" s="3">
        <v>67.67</v>
      </c>
      <c r="L216" s="3">
        <v>1</v>
      </c>
      <c r="M216" s="11">
        <f t="shared" si="5"/>
        <v>5.274261603375527E-4</v>
      </c>
      <c r="N216">
        <f>SUM(L$4:L216)</f>
        <v>1881</v>
      </c>
      <c r="O216" s="12">
        <f>SUM(M$4:M216)</f>
        <v>0.99208860759493478</v>
      </c>
    </row>
    <row r="217" spans="9:15" x14ac:dyDescent="0.25">
      <c r="I217" s="1" t="s">
        <v>103</v>
      </c>
      <c r="J217" s="1" t="s">
        <v>228</v>
      </c>
      <c r="K217" s="1">
        <v>35.03</v>
      </c>
      <c r="L217" s="1">
        <v>1</v>
      </c>
      <c r="M217" s="11">
        <f t="shared" si="5"/>
        <v>5.274261603375527E-4</v>
      </c>
      <c r="N217">
        <f>SUM(L$4:L217)</f>
        <v>1882</v>
      </c>
      <c r="O217" s="12">
        <f>SUM(M$4:M217)</f>
        <v>0.9926160337552723</v>
      </c>
    </row>
    <row r="218" spans="9:15" x14ac:dyDescent="0.25">
      <c r="I218" s="3" t="s">
        <v>103</v>
      </c>
      <c r="J218" s="3" t="s">
        <v>229</v>
      </c>
      <c r="K218" s="3">
        <v>173.84</v>
      </c>
      <c r="L218" s="3">
        <v>1</v>
      </c>
      <c r="M218" s="11">
        <f t="shared" si="5"/>
        <v>5.274261603375527E-4</v>
      </c>
      <c r="N218">
        <f>SUM(L$4:L218)</f>
        <v>1883</v>
      </c>
      <c r="O218" s="12">
        <f>SUM(M$4:M218)</f>
        <v>0.99314345991560982</v>
      </c>
    </row>
    <row r="219" spans="9:15" x14ac:dyDescent="0.25">
      <c r="I219" s="1" t="s">
        <v>103</v>
      </c>
      <c r="J219" s="1" t="s">
        <v>230</v>
      </c>
      <c r="K219" s="1">
        <v>35.74</v>
      </c>
      <c r="L219" s="1">
        <v>1</v>
      </c>
      <c r="M219" s="11">
        <f t="shared" si="5"/>
        <v>5.274261603375527E-4</v>
      </c>
      <c r="N219">
        <f>SUM(L$4:L219)</f>
        <v>1884</v>
      </c>
      <c r="O219" s="12">
        <f>SUM(M$4:M219)</f>
        <v>0.99367088607594733</v>
      </c>
    </row>
    <row r="220" spans="9:15" x14ac:dyDescent="0.25">
      <c r="I220" s="3" t="s">
        <v>103</v>
      </c>
      <c r="J220" s="3" t="s">
        <v>89</v>
      </c>
      <c r="K220" s="3">
        <v>26.88</v>
      </c>
      <c r="L220" s="3">
        <v>1</v>
      </c>
      <c r="M220" s="11">
        <f t="shared" si="5"/>
        <v>5.274261603375527E-4</v>
      </c>
      <c r="N220">
        <f>SUM(L$4:L220)</f>
        <v>1885</v>
      </c>
      <c r="O220" s="12">
        <f>SUM(M$4:M220)</f>
        <v>0.99419831223628485</v>
      </c>
    </row>
    <row r="221" spans="9:15" x14ac:dyDescent="0.25">
      <c r="I221" s="1" t="s">
        <v>103</v>
      </c>
      <c r="J221" s="1" t="s">
        <v>70</v>
      </c>
      <c r="K221" s="1">
        <v>70.91</v>
      </c>
      <c r="L221" s="1">
        <v>1</v>
      </c>
      <c r="M221" s="11">
        <f t="shared" si="5"/>
        <v>5.274261603375527E-4</v>
      </c>
      <c r="N221">
        <f>SUM(L$4:L221)</f>
        <v>1886</v>
      </c>
      <c r="O221" s="12">
        <f>SUM(M$4:M221)</f>
        <v>0.99472573839662237</v>
      </c>
    </row>
    <row r="222" spans="9:15" x14ac:dyDescent="0.25">
      <c r="I222" s="3" t="s">
        <v>103</v>
      </c>
      <c r="J222" s="3" t="s">
        <v>231</v>
      </c>
      <c r="K222" s="3">
        <v>24.31</v>
      </c>
      <c r="L222" s="3">
        <v>1</v>
      </c>
      <c r="M222" s="11">
        <f t="shared" si="5"/>
        <v>5.274261603375527E-4</v>
      </c>
      <c r="N222">
        <f>SUM(L$4:L222)</f>
        <v>1887</v>
      </c>
      <c r="O222" s="12">
        <f>SUM(M$4:M222)</f>
        <v>0.99525316455695989</v>
      </c>
    </row>
    <row r="223" spans="9:15" x14ac:dyDescent="0.25">
      <c r="I223" s="1" t="s">
        <v>103</v>
      </c>
      <c r="J223" s="1" t="s">
        <v>29</v>
      </c>
      <c r="K223" s="1">
        <v>121.47</v>
      </c>
      <c r="L223" s="1">
        <v>1</v>
      </c>
      <c r="M223" s="11">
        <f t="shared" si="5"/>
        <v>5.274261603375527E-4</v>
      </c>
      <c r="N223">
        <f>SUM(L$4:L223)</f>
        <v>1888</v>
      </c>
      <c r="O223" s="12">
        <f>SUM(M$4:M223)</f>
        <v>0.99578059071729741</v>
      </c>
    </row>
    <row r="224" spans="9:15" x14ac:dyDescent="0.25">
      <c r="I224" s="3" t="s">
        <v>103</v>
      </c>
      <c r="J224" s="3" t="s">
        <v>232</v>
      </c>
      <c r="K224" s="3">
        <v>104.87</v>
      </c>
      <c r="L224" s="3">
        <v>1</v>
      </c>
      <c r="M224" s="11">
        <f t="shared" si="5"/>
        <v>5.274261603375527E-4</v>
      </c>
      <c r="N224">
        <f>SUM(L$4:L224)</f>
        <v>1889</v>
      </c>
      <c r="O224" s="12">
        <f>SUM(M$4:M224)</f>
        <v>0.99630801687763493</v>
      </c>
    </row>
    <row r="225" spans="9:15" x14ac:dyDescent="0.25">
      <c r="I225" s="1" t="s">
        <v>103</v>
      </c>
      <c r="J225" s="1" t="s">
        <v>233</v>
      </c>
      <c r="K225" s="1">
        <v>140.63</v>
      </c>
      <c r="L225" s="1">
        <v>1</v>
      </c>
      <c r="M225" s="11">
        <f t="shared" si="5"/>
        <v>5.274261603375527E-4</v>
      </c>
      <c r="N225">
        <f>SUM(L$4:L225)</f>
        <v>1890</v>
      </c>
      <c r="O225" s="12">
        <f>SUM(M$4:M225)</f>
        <v>0.99683544303797245</v>
      </c>
    </row>
    <row r="226" spans="9:15" x14ac:dyDescent="0.25">
      <c r="I226" s="3" t="s">
        <v>103</v>
      </c>
      <c r="J226" s="3" t="s">
        <v>234</v>
      </c>
      <c r="K226" s="3">
        <v>26.96</v>
      </c>
      <c r="L226" s="3">
        <v>1</v>
      </c>
      <c r="M226" s="11">
        <f t="shared" si="5"/>
        <v>5.274261603375527E-4</v>
      </c>
      <c r="N226">
        <f>SUM(L$4:L226)</f>
        <v>1891</v>
      </c>
      <c r="O226" s="12">
        <f>SUM(M$4:M226)</f>
        <v>0.99736286919830996</v>
      </c>
    </row>
    <row r="227" spans="9:15" x14ac:dyDescent="0.25">
      <c r="I227" s="1" t="s">
        <v>103</v>
      </c>
      <c r="J227" s="1" t="s">
        <v>11</v>
      </c>
      <c r="K227" s="1">
        <v>121.47</v>
      </c>
      <c r="L227" s="1">
        <v>1</v>
      </c>
      <c r="M227" s="11">
        <f t="shared" si="5"/>
        <v>5.274261603375527E-4</v>
      </c>
      <c r="N227">
        <f>SUM(L$4:L227)</f>
        <v>1892</v>
      </c>
      <c r="O227" s="12">
        <f>SUM(M$4:M227)</f>
        <v>0.99789029535864748</v>
      </c>
    </row>
    <row r="228" spans="9:15" x14ac:dyDescent="0.25">
      <c r="I228" s="3" t="s">
        <v>103</v>
      </c>
      <c r="J228" s="3" t="s">
        <v>9</v>
      </c>
      <c r="K228" s="3">
        <v>58.45</v>
      </c>
      <c r="L228" s="3">
        <v>1</v>
      </c>
      <c r="M228" s="11">
        <f t="shared" si="5"/>
        <v>5.274261603375527E-4</v>
      </c>
      <c r="N228">
        <f>SUM(L$4:L228)</f>
        <v>1893</v>
      </c>
      <c r="O228" s="12">
        <f>SUM(M$4:M228)</f>
        <v>0.998417721518985</v>
      </c>
    </row>
    <row r="229" spans="9:15" x14ac:dyDescent="0.25">
      <c r="I229" s="1" t="s">
        <v>103</v>
      </c>
      <c r="J229" s="1" t="s">
        <v>235</v>
      </c>
      <c r="K229" s="1">
        <v>143.34</v>
      </c>
      <c r="L229" s="1">
        <v>1</v>
      </c>
      <c r="M229" s="11">
        <f t="shared" si="5"/>
        <v>5.274261603375527E-4</v>
      </c>
      <c r="N229">
        <f>SUM(L$4:L229)</f>
        <v>1894</v>
      </c>
      <c r="O229" s="12">
        <f>SUM(M$4:M229)</f>
        <v>0.99894514767932252</v>
      </c>
    </row>
    <row r="230" spans="9:15" x14ac:dyDescent="0.25">
      <c r="I230" s="3" t="s">
        <v>103</v>
      </c>
      <c r="J230" s="3" t="s">
        <v>236</v>
      </c>
      <c r="K230" s="3">
        <v>10.39</v>
      </c>
      <c r="L230" s="3">
        <v>1</v>
      </c>
      <c r="M230" s="11">
        <f t="shared" si="5"/>
        <v>5.274261603375527E-4</v>
      </c>
      <c r="N230">
        <f>SUM(L$4:L230)</f>
        <v>1895</v>
      </c>
      <c r="O230" s="12">
        <f>SUM(M$4:M230)</f>
        <v>0.99947257383966004</v>
      </c>
    </row>
    <row r="231" spans="9:15" x14ac:dyDescent="0.25">
      <c r="I231" s="1" t="s">
        <v>103</v>
      </c>
      <c r="J231" s="1" t="s">
        <v>237</v>
      </c>
      <c r="K231" s="1">
        <v>19.07</v>
      </c>
      <c r="L231" s="1">
        <v>1</v>
      </c>
      <c r="M231" s="11">
        <f t="shared" si="5"/>
        <v>5.274261603375527E-4</v>
      </c>
      <c r="N231">
        <f>SUM(L$4:L231)</f>
        <v>1896</v>
      </c>
      <c r="O231" s="12">
        <f>SUM(M$4:M231)</f>
        <v>0.99999999999999756</v>
      </c>
    </row>
  </sheetData>
  <pageMargins left="0.7" right="0.7" top="0.75" bottom="0.75" header="0.3" footer="0.3"/>
  <headerFooter>
    <oddFooter>&amp;L© Copyright 1999-2026 IJGlobal. All Rights Reserved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4509EC8503F544A276F00156456C64" ma:contentTypeVersion="12" ma:contentTypeDescription="Create a new document." ma:contentTypeScope="" ma:versionID="1d4bb4f0a75d537d5bd9db7fe240ef8a">
  <xsd:schema xmlns:xsd="http://www.w3.org/2001/XMLSchema" xmlns:xs="http://www.w3.org/2001/XMLSchema" xmlns:p="http://schemas.microsoft.com/office/2006/metadata/properties" xmlns:ns2="97deca67-0c98-4bf1-af45-84faa731fe5d" xmlns:ns3="27eb7c20-12f6-4d1b-9efc-b06e9e9b5309" targetNamespace="http://schemas.microsoft.com/office/2006/metadata/properties" ma:root="true" ma:fieldsID="23e7ad7e6855ccb6e0e2b1fe9f9b692f" ns2:_="" ns3:_="">
    <xsd:import namespace="97deca67-0c98-4bf1-af45-84faa731fe5d"/>
    <xsd:import namespace="27eb7c20-12f6-4d1b-9efc-b06e9e9b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eca67-0c98-4bf1-af45-84faa731fe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291366d-398b-4af2-be37-847f42a0e6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b7c20-12f6-4d1b-9efc-b06e9e9b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3bc6a37-932d-4df0-b122-8959f400ddf6}" ma:internalName="TaxCatchAll" ma:showField="CatchAllData" ma:web="27eb7c20-12f6-4d1b-9efc-b06e9e9b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deca67-0c98-4bf1-af45-84faa731fe5d">
      <Terms xmlns="http://schemas.microsoft.com/office/infopath/2007/PartnerControls"/>
    </lcf76f155ced4ddcb4097134ff3c332f>
    <TaxCatchAll xmlns="27eb7c20-12f6-4d1b-9efc-b06e9e9b5309" xsi:nil="true"/>
  </documentManagement>
</p:properties>
</file>

<file path=customXml/itemProps1.xml><?xml version="1.0" encoding="utf-8"?>
<ds:datastoreItem xmlns:ds="http://schemas.openxmlformats.org/officeDocument/2006/customXml" ds:itemID="{5C0FA5E4-E2E0-444C-94AE-0F0B0902C295}"/>
</file>

<file path=customXml/itemProps2.xml><?xml version="1.0" encoding="utf-8"?>
<ds:datastoreItem xmlns:ds="http://schemas.openxmlformats.org/officeDocument/2006/customXml" ds:itemID="{72F80411-7AB5-4743-9337-0CFF1C487910}"/>
</file>

<file path=customXml/itemProps3.xml><?xml version="1.0" encoding="utf-8"?>
<ds:datastoreItem xmlns:ds="http://schemas.openxmlformats.org/officeDocument/2006/customXml" ds:itemID="{25A8562A-F0BD-4C3F-9659-205C85F051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League Table Search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RobDornton-Duff</dc:creator>
  <cp:lastModifiedBy>RobDornton-Duff</cp:lastModifiedBy>
  <dcterms:created xsi:type="dcterms:W3CDTF">2026-02-06T13:12:14Z</dcterms:created>
  <dcterms:modified xsi:type="dcterms:W3CDTF">2026-02-06T13:12:14Z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0x010100B24509EC8503F544A276F00156456C64</vt:lpwstr>
  </property>
</Properties>
</file>